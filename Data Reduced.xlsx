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649238\Monash Health\Medical Physics - General\Research\I-124 Pre-therapy Dosimetry Comparison\"/>
    </mc:Choice>
  </mc:AlternateContent>
  <bookViews>
    <workbookView xWindow="-120" yWindow="-120" windowWidth="19320" windowHeight="6855" tabRatio="598"/>
  </bookViews>
  <sheets>
    <sheet name="Inputs-new" sheetId="7" r:id="rId1"/>
    <sheet name="Lung Nodule Dosimetry" sheetId="5" state="hidden" r:id="rId2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34" i="7" l="1"/>
  <c r="K9" i="5" l="1"/>
  <c r="J9" i="5"/>
  <c r="I9" i="5"/>
  <c r="H9" i="5"/>
  <c r="F9" i="5"/>
  <c r="D9" i="5"/>
  <c r="C9" i="5"/>
  <c r="B9" i="5"/>
  <c r="L5" i="5"/>
  <c r="K5" i="5"/>
  <c r="J5" i="5"/>
  <c r="I5" i="5"/>
  <c r="H5" i="5"/>
  <c r="E5" i="5"/>
  <c r="C5" i="5"/>
  <c r="B5" i="5"/>
  <c r="A5" i="5"/>
  <c r="F5" i="5" l="1"/>
  <c r="G9" i="5"/>
  <c r="Q33" i="7" l="1"/>
</calcChain>
</file>

<file path=xl/comments1.xml><?xml version="1.0" encoding="utf-8"?>
<comments xmlns="http://schemas.openxmlformats.org/spreadsheetml/2006/main">
  <authors>
    <author>Michael Lawson</author>
  </authors>
  <commentList>
    <comment ref="I1" authorId="0" shapeId="0">
      <text>
        <r>
          <rPr>
            <b/>
            <sz val="9"/>
            <color indexed="81"/>
            <rFont val="Tahoma"/>
            <family val="2"/>
          </rPr>
          <t>Michael Lawson:</t>
        </r>
        <r>
          <rPr>
            <sz val="9"/>
            <color indexed="81"/>
            <rFont val="Tahoma"/>
            <family val="2"/>
          </rPr>
          <t xml:space="preserve">
As measured by manufacturer</t>
        </r>
      </text>
    </comment>
    <comment ref="J1" authorId="0" shapeId="0">
      <text>
        <r>
          <rPr>
            <b/>
            <sz val="9"/>
            <color indexed="81"/>
            <rFont val="Tahoma"/>
            <family val="2"/>
          </rPr>
          <t>Michael Lawson:</t>
        </r>
        <r>
          <rPr>
            <sz val="9"/>
            <color indexed="81"/>
            <rFont val="Tahoma"/>
            <family val="2"/>
          </rPr>
          <t xml:space="preserve">
As measured by manufacturer</t>
        </r>
      </text>
    </comment>
    <comment ref="K1" authorId="0" shapeId="0">
      <text>
        <r>
          <rPr>
            <b/>
            <sz val="9"/>
            <color indexed="81"/>
            <rFont val="Tahoma"/>
            <family val="2"/>
          </rPr>
          <t xml:space="preserve">Michael Lawson: 
</t>
        </r>
        <r>
          <rPr>
            <sz val="9"/>
            <color indexed="81"/>
            <rFont val="Tahoma"/>
            <family val="2"/>
          </rPr>
          <t>As measured at treating site</t>
        </r>
      </text>
    </comment>
  </commentList>
</comments>
</file>

<file path=xl/sharedStrings.xml><?xml version="1.0" encoding="utf-8"?>
<sst xmlns="http://schemas.openxmlformats.org/spreadsheetml/2006/main" count="73" uniqueCount="49">
  <si>
    <t>Patient UR</t>
  </si>
  <si>
    <t xml:space="preserve">Patient Name </t>
  </si>
  <si>
    <t>Sex (M/F)</t>
  </si>
  <si>
    <t>DOB</t>
  </si>
  <si>
    <t>Height (cm)</t>
  </si>
  <si>
    <t>Weight (Kg)</t>
  </si>
  <si>
    <t>Injected Activity as per Dose Calibrator (MBq)</t>
  </si>
  <si>
    <t>Injection Time</t>
  </si>
  <si>
    <t>Scan Time 1</t>
  </si>
  <si>
    <t>Whole Body Mean SUV 1 (Bq/ml)</t>
  </si>
  <si>
    <t>Volume of Whole Body 1 (cm^3)</t>
  </si>
  <si>
    <t>Scan Time 2</t>
  </si>
  <si>
    <t>Whole Body Mean SUV 2 (Bq/ml)</t>
  </si>
  <si>
    <t>Volume of Whole Body 2 (cm^3)</t>
  </si>
  <si>
    <t>Scan Time 3</t>
  </si>
  <si>
    <t>Whole Body Mean SUV 3 (Bq/ml)</t>
  </si>
  <si>
    <t>Volume of Whole Body 3 (cm^3)</t>
  </si>
  <si>
    <t>Scan Time 4</t>
  </si>
  <si>
    <t>Whole Body Mean SUV 4 (Bq/ml)</t>
  </si>
  <si>
    <t>Volume of Whole Body 4 (cm^3)</t>
  </si>
  <si>
    <t>Scan Time 5</t>
  </si>
  <si>
    <t>Whole Body Mean SUV 5 (Bq/ml)</t>
  </si>
  <si>
    <t>Volume of Whole Body 5 (cm^3)</t>
  </si>
  <si>
    <t>Time Bloods Taken 1</t>
  </si>
  <si>
    <t>Time Bloods Measured 1</t>
  </si>
  <si>
    <t>Time Bloods Taken 2</t>
  </si>
  <si>
    <t>Time Bloods Measured 2</t>
  </si>
  <si>
    <t>Time Bloods Taken 3</t>
  </si>
  <si>
    <t>Time Bloods Measured 3</t>
  </si>
  <si>
    <t>Time Bloods Taken 4</t>
  </si>
  <si>
    <t>Time Bloods Measured 4</t>
  </si>
  <si>
    <t>Time Bloods Taken 5</t>
  </si>
  <si>
    <t>Time Bloods Measured 5</t>
  </si>
  <si>
    <t>M</t>
  </si>
  <si>
    <t>F</t>
  </si>
  <si>
    <t>T2</t>
  </si>
  <si>
    <t>abcd</t>
  </si>
  <si>
    <t>tester</t>
  </si>
  <si>
    <t>Blood Reference Dose Preparation (Date/Time)</t>
  </si>
  <si>
    <t>Blood Reference Dose Activity (MBq)</t>
  </si>
  <si>
    <t>Blood Reference Source Count (Date/Time)</t>
  </si>
  <si>
    <t>Blood Volume of Diluted Radioisotope Solution (ml)</t>
  </si>
  <si>
    <t>Blood Reference Counts (CPM)</t>
  </si>
  <si>
    <t>Blood Background Counts (CPM)</t>
  </si>
  <si>
    <t>Blood Counts 4 (Background Corrected) (CPM)</t>
  </si>
  <si>
    <t>Blood Counts 5 (Background Corrected) (CPM)</t>
  </si>
  <si>
    <t>Blood Counts 3 (Background Corrected) (CPM)</t>
  </si>
  <si>
    <t>Blood Counts 1 (Background Corrected) (CPM)</t>
  </si>
  <si>
    <t>Blood Counts 2 (Background Corrected) (CPM)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</si>
</sst>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72" formatCode="d/mm/yyyy\ hh:mm"/>
  </numFmts>
  <fonts count="7" x14ac:knownFonts="1">
    <font>
      <sz val="11"/>
      <color theme="1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FA7D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F2F2F2"/>
      </patternFill>
    </fill>
  </fills>
  <borders count="18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medium">
        <color indexed="64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7F7F7F"/>
      </left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thin">
        <color rgb="FF7F7F7F"/>
      </bottom>
      <diagonal/>
    </border>
    <border>
      <left/>
      <right style="thin">
        <color rgb="FF7F7F7F"/>
      </right>
      <top style="thin">
        <color rgb="FF7F7F7F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7F7F7F"/>
      </left>
      <right/>
      <top/>
      <bottom style="thin">
        <color rgb="FF7F7F7F"/>
      </bottom>
      <diagonal/>
    </border>
    <border>
      <left style="thin">
        <color rgb="FF7F7F7F"/>
      </left>
      <right/>
      <top style="thin">
        <color rgb="FF7F7F7F"/>
      </top>
      <bottom style="medium">
        <color indexed="64"/>
      </bottom>
      <diagonal/>
    </border>
    <border>
      <left/>
      <right style="thin">
        <color rgb="FF7F7F7F"/>
      </right>
      <top/>
      <bottom style="thin">
        <color rgb="FF7F7F7F"/>
      </bottom>
      <diagonal/>
    </border>
    <border>
      <left style="thin">
        <color rgb="FF7F7F7F"/>
      </left>
      <right style="thin">
        <color rgb="FF7F7F7F"/>
      </right>
      <top/>
      <bottom/>
      <diagonal/>
    </border>
  </borders>
  <cellStyleXfs count="3">
    <xf numFmtId="0" fontId="0" fillId="0" borderId="0"/>
    <xf numFmtId="0" fontId="1" fillId="2" borderId="1" applyNumberFormat="0" applyAlignment="0" applyProtection="0"/>
    <xf numFmtId="0" fontId="2" fillId="3" borderId="1" applyNumberFormat="0" applyAlignment="0" applyProtection="0"/>
  </cellStyleXfs>
  <cellXfs count="36">
    <xf numFmtId="0" fontId="0" fillId="0" borderId="0" xfId="0"/>
    <xf numFmtId="0" fontId="1" fillId="2" borderId="1" xfId="1"/>
    <xf numFmtId="0" fontId="2" fillId="3" borderId="1" xfId="2"/>
    <xf numFmtId="0" fontId="1" fillId="2" borderId="2" xfId="1" applyBorder="1"/>
    <xf numFmtId="0" fontId="1" fillId="2" borderId="8" xfId="1" applyBorder="1"/>
    <xf numFmtId="0" fontId="1" fillId="2" borderId="10" xfId="1" applyBorder="1"/>
    <xf numFmtId="22" fontId="1" fillId="2" borderId="1" xfId="1" applyNumberFormat="1" applyAlignment="1">
      <alignment horizontal="center"/>
    </xf>
    <xf numFmtId="22" fontId="1" fillId="2" borderId="2" xfId="1" applyNumberFormat="1" applyBorder="1" applyAlignment="1">
      <alignment horizontal="center"/>
    </xf>
    <xf numFmtId="22" fontId="1" fillId="2" borderId="6" xfId="1" applyNumberFormat="1" applyBorder="1" applyAlignment="1">
      <alignment horizontal="center"/>
    </xf>
    <xf numFmtId="22" fontId="1" fillId="2" borderId="7" xfId="1" applyNumberFormat="1" applyBorder="1" applyAlignment="1">
      <alignment horizontal="center"/>
    </xf>
    <xf numFmtId="1" fontId="1" fillId="2" borderId="1" xfId="1" applyNumberFormat="1"/>
    <xf numFmtId="0" fontId="3" fillId="0" borderId="0" xfId="0" applyFont="1" applyAlignment="1">
      <alignment wrapText="1"/>
    </xf>
    <xf numFmtId="0" fontId="3" fillId="0" borderId="9" xfId="0" applyFont="1" applyBorder="1" applyAlignment="1">
      <alignment wrapText="1"/>
    </xf>
    <xf numFmtId="0" fontId="3" fillId="0" borderId="4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3" fillId="0" borderId="13" xfId="0" applyFont="1" applyBorder="1" applyAlignment="1">
      <alignment wrapText="1"/>
    </xf>
    <xf numFmtId="0" fontId="1" fillId="2" borderId="14" xfId="1" applyBorder="1"/>
    <xf numFmtId="0" fontId="1" fillId="2" borderId="11" xfId="1" applyBorder="1"/>
    <xf numFmtId="0" fontId="1" fillId="2" borderId="15" xfId="1" applyBorder="1"/>
    <xf numFmtId="0" fontId="1" fillId="2" borderId="9" xfId="1" applyBorder="1"/>
    <xf numFmtId="0" fontId="3" fillId="0" borderId="9" xfId="0" applyFont="1" applyBorder="1"/>
    <xf numFmtId="14" fontId="1" fillId="2" borderId="10" xfId="1" applyNumberFormat="1" applyBorder="1"/>
    <xf numFmtId="14" fontId="1" fillId="2" borderId="1" xfId="1" applyNumberFormat="1"/>
    <xf numFmtId="22" fontId="1" fillId="2" borderId="2" xfId="1" applyNumberFormat="1" applyBorder="1"/>
    <xf numFmtId="22" fontId="1" fillId="2" borderId="1" xfId="1" applyNumberFormat="1"/>
    <xf numFmtId="22" fontId="2" fillId="3" borderId="1" xfId="2" applyNumberFormat="1"/>
    <xf numFmtId="0" fontId="1" fillId="2" borderId="1" xfId="1" applyNumberFormat="1"/>
    <xf numFmtId="14" fontId="1" fillId="2" borderId="8" xfId="1" applyNumberFormat="1" applyBorder="1"/>
    <xf numFmtId="0" fontId="1" fillId="2" borderId="16" xfId="1" applyBorder="1"/>
    <xf numFmtId="0" fontId="1" fillId="2" borderId="12" xfId="1" applyBorder="1"/>
    <xf numFmtId="22" fontId="1" fillId="2" borderId="1" xfId="1" applyNumberFormat="1" applyAlignment="1">
      <alignment horizontal="left"/>
    </xf>
    <xf numFmtId="172" fontId="1" fillId="2" borderId="1" xfId="1" applyNumberFormat="1"/>
    <xf numFmtId="0" fontId="1" fillId="2" borderId="1" xfId="1" applyAlignment="1">
      <alignment horizontal="right" vertical="center"/>
    </xf>
    <xf numFmtId="0" fontId="1" fillId="2" borderId="17" xfId="1" applyBorder="1"/>
    <xf numFmtId="0" fontId="6" fillId="0" borderId="5" xfId="0" applyFont="1" applyBorder="1" applyAlignment="1">
      <alignment wrapText="1"/>
    </xf>
    <xf numFmtId="14" fontId="1" fillId="2" borderId="1" xfId="1" applyNumberFormat="1" applyAlignment="1">
      <alignment horizontal="right"/>
    </xf>
  </cellXfs>
  <cellStyles count="3">
    <cellStyle name="Calculation" xfId="2" builtinId="22"/>
    <cellStyle name="Input" xfId="1" builtinId="20"/>
    <cellStyle name="Normal" xfId="0" builtinId="0"/>
  </cellStyles>
  <dxfs count="0"/>
  <tableStyles count="0" defaultTableStyle="TableStyleMedium2" defaultPivotStyle="PivotStyleLight16"/>
  <colors>
    <mruColors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AR34"/>
  <sheetViews>
    <sheetView tabSelected="1" zoomScale="72" zoomScaleNormal="80" workbookViewId="0">
      <pane xSplit="2" ySplit="1" topLeftCell="AB2" activePane="bottomRight" state="frozen"/>
      <selection pane="topRight" activeCell="C1" sqref="C1"/>
      <selection pane="bottomLeft" activeCell="A4" sqref="A4"/>
      <selection pane="bottomRight" activeCell="AH29" sqref="AH29"/>
    </sheetView>
  </sheetViews>
  <sheetFormatPr defaultRowHeight="15" x14ac:dyDescent="0.25"/>
  <cols>
    <col min="1" max="1" width="14.140625" customWidth="1"/>
    <col min="2" max="2" width="26.5703125" customWidth="1"/>
    <col min="3" max="3" width="11" customWidth="1"/>
    <col min="4" max="4" width="15" customWidth="1"/>
    <col min="5" max="5" width="10.5703125" customWidth="1"/>
    <col min="6" max="6" width="12.5703125" customWidth="1"/>
    <col min="7" max="7" width="16.5703125" customWidth="1"/>
    <col min="8" max="8" width="18.5703125" customWidth="1"/>
    <col min="9" max="9" width="20.85546875" bestFit="1" customWidth="1"/>
    <col min="10" max="10" width="16.85546875" customWidth="1"/>
    <col min="11" max="11" width="24.5703125" bestFit="1" customWidth="1"/>
    <col min="12" max="12" width="17.85546875" customWidth="1"/>
    <col min="13" max="13" width="14.85546875" customWidth="1"/>
    <col min="14" max="14" width="18.5703125" customWidth="1"/>
    <col min="15" max="15" width="17.7109375" bestFit="1" customWidth="1"/>
    <col min="16" max="16" width="13.7109375" customWidth="1"/>
    <col min="17" max="17" width="15.28515625" customWidth="1"/>
    <col min="18" max="18" width="16.85546875" customWidth="1"/>
    <col min="19" max="19" width="9.140625" customWidth="1"/>
    <col min="20" max="20" width="15.28515625" customWidth="1"/>
    <col min="21" max="21" width="16.85546875" customWidth="1"/>
    <col min="22" max="22" width="9.140625" customWidth="1"/>
    <col min="23" max="23" width="15.28515625" customWidth="1"/>
    <col min="24" max="24" width="16.85546875" customWidth="1"/>
    <col min="25" max="25" width="9.140625" customWidth="1"/>
    <col min="26" max="26" width="15.28515625" customWidth="1"/>
    <col min="27" max="27" width="16.85546875" customWidth="1"/>
    <col min="28" max="28" width="9.140625" customWidth="1"/>
    <col min="29" max="29" width="15.28515625" customWidth="1"/>
    <col min="30" max="30" width="18.42578125" customWidth="1"/>
    <col min="31" max="31" width="22.85546875" bestFit="1" customWidth="1"/>
    <col min="32" max="32" width="13.5703125" customWidth="1"/>
    <col min="33" max="33" width="23.140625" customWidth="1"/>
    <col min="34" max="34" width="18.42578125" customWidth="1"/>
    <col min="35" max="35" width="13.5703125" customWidth="1"/>
    <col min="36" max="36" width="27.42578125" bestFit="1" customWidth="1"/>
    <col min="37" max="37" width="30" bestFit="1" customWidth="1"/>
    <col min="38" max="38" width="13.5703125" customWidth="1"/>
    <col min="39" max="39" width="27.42578125" bestFit="1" customWidth="1"/>
    <col min="40" max="40" width="30" bestFit="1" customWidth="1"/>
    <col min="41" max="41" width="13.5703125" customWidth="1"/>
    <col min="42" max="42" width="17.85546875" customWidth="1"/>
    <col min="43" max="43" width="18.28515625" customWidth="1"/>
    <col min="44" max="44" width="13.5703125" customWidth="1"/>
  </cols>
  <sheetData>
    <row r="1" spans="1:44" ht="84.6" customHeight="1" x14ac:dyDescent="0.25">
      <c r="A1" s="20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5" t="s">
        <v>5</v>
      </c>
      <c r="G1" s="15" t="s">
        <v>6</v>
      </c>
      <c r="H1" s="34" t="s">
        <v>7</v>
      </c>
      <c r="I1" s="11" t="s">
        <v>38</v>
      </c>
      <c r="J1" s="11" t="s">
        <v>39</v>
      </c>
      <c r="K1" s="11" t="s">
        <v>40</v>
      </c>
      <c r="L1" s="11" t="s">
        <v>41</v>
      </c>
      <c r="M1" s="11" t="s">
        <v>42</v>
      </c>
      <c r="N1" s="11" t="s">
        <v>43</v>
      </c>
      <c r="O1" s="13" t="s">
        <v>8</v>
      </c>
      <c r="P1" s="11" t="s">
        <v>9</v>
      </c>
      <c r="Q1" s="11" t="s">
        <v>10</v>
      </c>
      <c r="R1" s="13" t="s">
        <v>11</v>
      </c>
      <c r="S1" s="11" t="s">
        <v>12</v>
      </c>
      <c r="T1" s="11" t="s">
        <v>13</v>
      </c>
      <c r="U1" s="13" t="s">
        <v>14</v>
      </c>
      <c r="V1" s="11" t="s">
        <v>15</v>
      </c>
      <c r="W1" s="11" t="s">
        <v>16</v>
      </c>
      <c r="X1" s="14" t="s">
        <v>17</v>
      </c>
      <c r="Y1" s="14" t="s">
        <v>18</v>
      </c>
      <c r="Z1" s="14" t="s">
        <v>19</v>
      </c>
      <c r="AA1" s="13" t="s">
        <v>20</v>
      </c>
      <c r="AB1" s="11" t="s">
        <v>21</v>
      </c>
      <c r="AC1" s="11" t="s">
        <v>22</v>
      </c>
      <c r="AD1" s="11" t="s">
        <v>23</v>
      </c>
      <c r="AE1" s="11" t="s">
        <v>24</v>
      </c>
      <c r="AF1" s="11" t="s">
        <v>47</v>
      </c>
      <c r="AG1" s="11" t="s">
        <v>25</v>
      </c>
      <c r="AH1" s="11" t="s">
        <v>26</v>
      </c>
      <c r="AI1" s="11" t="s">
        <v>48</v>
      </c>
      <c r="AJ1" s="11" t="s">
        <v>27</v>
      </c>
      <c r="AK1" s="11" t="s">
        <v>28</v>
      </c>
      <c r="AL1" s="11" t="s">
        <v>46</v>
      </c>
      <c r="AM1" s="11" t="s">
        <v>29</v>
      </c>
      <c r="AN1" s="11" t="s">
        <v>30</v>
      </c>
      <c r="AO1" s="11" t="s">
        <v>44</v>
      </c>
      <c r="AP1" s="13" t="s">
        <v>31</v>
      </c>
      <c r="AQ1" s="11" t="s">
        <v>32</v>
      </c>
      <c r="AR1" s="11" t="s">
        <v>45</v>
      </c>
    </row>
    <row r="2" spans="1:44" x14ac:dyDescent="0.25">
      <c r="A2" s="5">
        <v>1</v>
      </c>
      <c r="B2" s="28"/>
      <c r="C2" s="5" t="s">
        <v>33</v>
      </c>
      <c r="D2" s="21"/>
      <c r="E2" s="5">
        <v>183</v>
      </c>
      <c r="F2" s="16">
        <v>125.4</v>
      </c>
      <c r="G2" s="19"/>
      <c r="H2" s="7">
        <v>43423.625</v>
      </c>
      <c r="I2" s="7">
        <v>43423.643750000003</v>
      </c>
      <c r="J2" s="3">
        <v>3.67</v>
      </c>
      <c r="K2" s="6">
        <v>43425.375</v>
      </c>
      <c r="L2" s="10">
        <v>200</v>
      </c>
      <c r="M2" s="1">
        <v>61327</v>
      </c>
      <c r="N2" s="1"/>
      <c r="O2" s="8">
        <v>43423.708333333336</v>
      </c>
      <c r="P2" s="1">
        <v>380.2</v>
      </c>
      <c r="Q2" s="1">
        <v>242335.35</v>
      </c>
      <c r="R2" s="8">
        <v>43424.331250000003</v>
      </c>
      <c r="S2" s="1">
        <v>192.2</v>
      </c>
      <c r="T2" s="1">
        <v>254900.8</v>
      </c>
      <c r="U2" s="8">
        <v>43425</v>
      </c>
      <c r="V2" s="1">
        <v>109.8</v>
      </c>
      <c r="W2" s="1">
        <v>240438.39</v>
      </c>
      <c r="X2" s="7">
        <v>43426.333333333336</v>
      </c>
      <c r="Y2" s="1">
        <v>56</v>
      </c>
      <c r="Z2" s="1">
        <v>228751.2</v>
      </c>
      <c r="AA2" s="8">
        <v>43427.333333333336</v>
      </c>
      <c r="AB2" s="1">
        <v>26.5</v>
      </c>
      <c r="AC2" s="1">
        <v>221386.05</v>
      </c>
      <c r="AD2" s="8">
        <v>43423.694444444445</v>
      </c>
      <c r="AE2" s="8">
        <v>43427.46875</v>
      </c>
      <c r="AF2" s="1">
        <v>3976</v>
      </c>
      <c r="AG2" s="8">
        <v>43424.322222222225</v>
      </c>
      <c r="AH2" s="8">
        <v>43427.470138888886</v>
      </c>
      <c r="AI2" s="1">
        <v>3509</v>
      </c>
      <c r="AJ2" s="8">
        <v>43425.326388888891</v>
      </c>
      <c r="AK2" s="8">
        <v>43427.47152777778</v>
      </c>
      <c r="AL2" s="1">
        <v>1835</v>
      </c>
      <c r="AM2" s="8">
        <v>43426.340277777781</v>
      </c>
      <c r="AN2" s="8">
        <v>43427.472916666666</v>
      </c>
      <c r="AO2" s="1">
        <v>1229</v>
      </c>
      <c r="AP2" s="8">
        <v>43427.375</v>
      </c>
      <c r="AQ2" s="8">
        <v>43427.474305555559</v>
      </c>
      <c r="AR2" s="1">
        <v>687</v>
      </c>
    </row>
    <row r="3" spans="1:44" x14ac:dyDescent="0.25">
      <c r="A3" s="1">
        <v>2</v>
      </c>
      <c r="B3" s="3"/>
      <c r="C3" s="1" t="s">
        <v>34</v>
      </c>
      <c r="D3" s="22"/>
      <c r="E3" s="1">
        <v>168</v>
      </c>
      <c r="F3" s="17">
        <v>73</v>
      </c>
      <c r="G3" s="19"/>
      <c r="H3" s="7">
        <v>44144.651388888888</v>
      </c>
      <c r="I3" s="6">
        <v>44144.674305555556</v>
      </c>
      <c r="J3" s="3">
        <v>8.0500000000000007</v>
      </c>
      <c r="K3" s="6">
        <v>44152.427083333336</v>
      </c>
      <c r="L3" s="1">
        <v>200</v>
      </c>
      <c r="M3" s="1">
        <v>125373.5</v>
      </c>
      <c r="N3" s="1"/>
      <c r="O3" s="8">
        <v>44144.753472222219</v>
      </c>
      <c r="P3" s="1">
        <v>178.7</v>
      </c>
      <c r="Q3" s="1">
        <v>203672.97</v>
      </c>
      <c r="R3" s="8">
        <v>44145.336805555555</v>
      </c>
      <c r="S3" s="1">
        <v>138.19999999999999</v>
      </c>
      <c r="T3" s="1">
        <v>191526</v>
      </c>
      <c r="U3" s="8">
        <v>44146.340277777781</v>
      </c>
      <c r="V3" s="1">
        <v>78.5</v>
      </c>
      <c r="W3" s="1">
        <v>221618.9</v>
      </c>
      <c r="X3" s="7">
        <v>44148.30972222222</v>
      </c>
      <c r="Y3" s="1">
        <v>27.8</v>
      </c>
      <c r="Z3" s="1">
        <v>202103.07</v>
      </c>
      <c r="AA3" s="8"/>
      <c r="AB3" s="1"/>
      <c r="AC3" s="1"/>
      <c r="AD3" s="8">
        <v>44144.739583333336</v>
      </c>
      <c r="AE3" s="8">
        <v>44152.427083333336</v>
      </c>
      <c r="AF3" s="1">
        <v>7168.75</v>
      </c>
      <c r="AG3" s="8">
        <v>44145.322916666664</v>
      </c>
      <c r="AH3" s="8">
        <v>44152.427083333336</v>
      </c>
      <c r="AI3" s="1">
        <v>5839.5</v>
      </c>
      <c r="AJ3" s="8">
        <v>44146.333333333336</v>
      </c>
      <c r="AK3" s="8">
        <v>44152.427083333336</v>
      </c>
      <c r="AL3" s="1">
        <v>4446</v>
      </c>
      <c r="AM3" s="8">
        <v>44148.302083333336</v>
      </c>
      <c r="AN3" s="8">
        <v>44152.427083333336</v>
      </c>
      <c r="AO3" s="1">
        <v>1752</v>
      </c>
      <c r="AP3" s="8"/>
      <c r="AQ3" s="8"/>
      <c r="AR3" s="1"/>
    </row>
    <row r="4" spans="1:44" x14ac:dyDescent="0.25">
      <c r="A4" s="1">
        <v>3</v>
      </c>
      <c r="B4" s="3"/>
      <c r="C4" s="1" t="s">
        <v>33</v>
      </c>
      <c r="D4" s="22"/>
      <c r="E4" s="1">
        <v>183</v>
      </c>
      <c r="F4" s="17">
        <v>124</v>
      </c>
      <c r="G4" s="19"/>
      <c r="H4" s="7">
        <v>44214.624305555553</v>
      </c>
      <c r="I4" s="7">
        <v>44214.640277777777</v>
      </c>
      <c r="J4" s="3">
        <v>12.497</v>
      </c>
      <c r="K4" s="24">
        <v>44221.673611111109</v>
      </c>
      <c r="L4" s="1">
        <v>200</v>
      </c>
      <c r="M4" s="1">
        <v>83219.25</v>
      </c>
      <c r="N4" s="1"/>
      <c r="O4" s="8">
        <v>44214.702777777777</v>
      </c>
      <c r="P4" s="1">
        <v>280.5</v>
      </c>
      <c r="Q4" s="1">
        <v>286601</v>
      </c>
      <c r="R4" s="8">
        <v>44215.302083333336</v>
      </c>
      <c r="S4" s="1">
        <v>171.6</v>
      </c>
      <c r="T4" s="1">
        <v>285453</v>
      </c>
      <c r="U4" s="8">
        <v>44216.300694444442</v>
      </c>
      <c r="V4" s="1">
        <v>78.8</v>
      </c>
      <c r="W4" s="1">
        <v>296370.3</v>
      </c>
      <c r="X4" s="7">
        <v>44217.287499999999</v>
      </c>
      <c r="Y4" s="1">
        <v>37.200000000000003</v>
      </c>
      <c r="Z4" s="1">
        <v>295208.51</v>
      </c>
      <c r="AA4" s="8">
        <v>44218.284722222219</v>
      </c>
      <c r="AB4" s="1">
        <v>12.3</v>
      </c>
      <c r="AC4" s="1">
        <v>323740.95</v>
      </c>
      <c r="AD4" s="8">
        <v>44214.697916666664</v>
      </c>
      <c r="AE4" s="8">
        <v>44221.673611111109</v>
      </c>
      <c r="AF4" s="1">
        <v>2382.5</v>
      </c>
      <c r="AG4" s="8">
        <v>44215.302083333336</v>
      </c>
      <c r="AH4" s="8">
        <v>44221.673611111109</v>
      </c>
      <c r="AI4" s="1">
        <v>1609.75</v>
      </c>
      <c r="AJ4" s="8">
        <v>44216.347222222219</v>
      </c>
      <c r="AK4" s="8">
        <v>44221.673611111109</v>
      </c>
      <c r="AL4" s="1">
        <v>854.25</v>
      </c>
      <c r="AM4" s="8">
        <v>44217.340277777781</v>
      </c>
      <c r="AN4" s="8">
        <v>44221.673611111109</v>
      </c>
      <c r="AO4" s="1">
        <v>453.25</v>
      </c>
      <c r="AP4" s="8">
        <v>44218.347222222219</v>
      </c>
      <c r="AQ4" s="8">
        <v>44221.673611111109</v>
      </c>
      <c r="AR4" s="1">
        <v>255.25</v>
      </c>
    </row>
    <row r="5" spans="1:44" x14ac:dyDescent="0.25">
      <c r="A5" s="1">
        <v>4</v>
      </c>
      <c r="B5" s="3"/>
      <c r="C5" s="1" t="s">
        <v>33</v>
      </c>
      <c r="D5" s="22"/>
      <c r="E5" s="1">
        <v>183</v>
      </c>
      <c r="F5" s="17">
        <v>124</v>
      </c>
      <c r="G5" s="19"/>
      <c r="H5" s="7">
        <v>44242.618055555555</v>
      </c>
      <c r="I5" s="23"/>
      <c r="J5" s="3"/>
      <c r="K5" s="24"/>
      <c r="L5" s="1"/>
      <c r="M5" s="1"/>
      <c r="N5" s="1"/>
      <c r="O5" s="8">
        <v>44242.69027777778</v>
      </c>
      <c r="P5" s="1">
        <v>194.3</v>
      </c>
      <c r="Q5" s="1">
        <v>358797.3</v>
      </c>
      <c r="R5" s="8">
        <v>44243.29583333333</v>
      </c>
      <c r="S5" s="1">
        <v>164.9</v>
      </c>
      <c r="T5" s="1">
        <v>323813.31</v>
      </c>
      <c r="U5" s="8">
        <v>44244.304861111108</v>
      </c>
      <c r="V5" s="1">
        <v>84.1</v>
      </c>
      <c r="W5" s="1">
        <v>331043</v>
      </c>
      <c r="X5" s="7">
        <v>44245.31527777778</v>
      </c>
      <c r="Y5" s="1">
        <v>41.3</v>
      </c>
      <c r="Z5" s="1">
        <v>331944.12</v>
      </c>
      <c r="AA5" s="8"/>
      <c r="AB5" s="1"/>
      <c r="AC5" s="1"/>
      <c r="AD5" s="8"/>
      <c r="AE5" s="8"/>
      <c r="AF5" s="1"/>
      <c r="AG5" s="8"/>
      <c r="AH5" s="8"/>
      <c r="AI5" s="1"/>
      <c r="AJ5" s="8"/>
      <c r="AK5" s="8"/>
      <c r="AL5" s="1"/>
      <c r="AM5" s="8"/>
      <c r="AN5" s="8"/>
      <c r="AO5" s="1"/>
      <c r="AP5" s="8"/>
      <c r="AQ5" s="8"/>
      <c r="AR5" s="1"/>
    </row>
    <row r="6" spans="1:44" x14ac:dyDescent="0.25">
      <c r="A6" s="1">
        <v>5</v>
      </c>
      <c r="B6" s="3"/>
      <c r="C6" s="1" t="s">
        <v>33</v>
      </c>
      <c r="D6" s="22"/>
      <c r="E6" s="1">
        <v>175</v>
      </c>
      <c r="F6" s="17">
        <v>84</v>
      </c>
      <c r="G6" s="19">
        <v>72.13</v>
      </c>
      <c r="H6" s="7">
        <v>44326.633333333331</v>
      </c>
      <c r="I6" s="23">
        <v>44326.619444444441</v>
      </c>
      <c r="J6" s="3">
        <v>11.67</v>
      </c>
      <c r="K6" s="24">
        <v>44334.5</v>
      </c>
      <c r="L6" s="1">
        <v>200</v>
      </c>
      <c r="M6" s="1">
        <v>50153.5</v>
      </c>
      <c r="N6" s="1"/>
      <c r="O6" s="8">
        <v>44326.715277777781</v>
      </c>
      <c r="P6" s="1">
        <v>250</v>
      </c>
      <c r="Q6" s="1">
        <v>250663.21</v>
      </c>
      <c r="R6" s="8">
        <v>44327.320833333331</v>
      </c>
      <c r="S6" s="1">
        <v>112.4</v>
      </c>
      <c r="T6" s="1">
        <v>265975.74</v>
      </c>
      <c r="U6" s="8">
        <v>44328.327777777777</v>
      </c>
      <c r="V6" s="1">
        <v>38.200000000000003</v>
      </c>
      <c r="W6" s="1">
        <v>305202.43</v>
      </c>
      <c r="X6" s="7">
        <v>44329.328472222223</v>
      </c>
      <c r="Y6" s="1">
        <v>12.2</v>
      </c>
      <c r="Z6" s="1">
        <v>266048</v>
      </c>
      <c r="AA6" s="8">
        <v>44330.321527777778</v>
      </c>
      <c r="AB6" s="26">
        <v>3.23</v>
      </c>
      <c r="AC6" s="1">
        <v>276910</v>
      </c>
      <c r="AD6" s="8">
        <v>44326.668055555558</v>
      </c>
      <c r="AE6" s="8">
        <v>44334.5</v>
      </c>
      <c r="AF6" s="1">
        <v>2668</v>
      </c>
      <c r="AG6" s="8">
        <v>44327.315972222219</v>
      </c>
      <c r="AH6" s="8">
        <v>44334.5</v>
      </c>
      <c r="AI6" s="1">
        <v>1537.5</v>
      </c>
      <c r="AJ6" s="8">
        <v>44328.371527777781</v>
      </c>
      <c r="AK6" s="8">
        <v>44334.5</v>
      </c>
      <c r="AL6" s="1">
        <v>575.75</v>
      </c>
      <c r="AM6" s="8">
        <v>44329.317361111112</v>
      </c>
      <c r="AN6" s="8">
        <v>44334.5</v>
      </c>
      <c r="AO6" s="1">
        <v>231.5</v>
      </c>
      <c r="AP6" s="8">
        <v>44330.363194444442</v>
      </c>
      <c r="AQ6" s="8">
        <v>44334.5</v>
      </c>
      <c r="AR6" s="1">
        <v>77.5</v>
      </c>
    </row>
    <row r="7" spans="1:44" ht="15.75" thickBot="1" x14ac:dyDescent="0.3">
      <c r="A7" s="5">
        <v>6</v>
      </c>
      <c r="B7" s="29"/>
      <c r="C7" s="4" t="s">
        <v>34</v>
      </c>
      <c r="D7" s="27"/>
      <c r="E7" s="4">
        <v>150</v>
      </c>
      <c r="F7" s="18">
        <v>71.2</v>
      </c>
      <c r="G7" s="19">
        <v>71.2</v>
      </c>
      <c r="H7" s="7">
        <v>44326.619444444441</v>
      </c>
      <c r="I7" s="23">
        <v>44326.619444444441</v>
      </c>
      <c r="J7" s="3">
        <v>11.67</v>
      </c>
      <c r="K7" s="24">
        <v>44334.5</v>
      </c>
      <c r="L7" s="1">
        <v>200</v>
      </c>
      <c r="M7" s="1">
        <v>50153.5</v>
      </c>
      <c r="N7" s="1"/>
      <c r="O7" s="9">
        <v>44326.679861111108</v>
      </c>
      <c r="P7" s="4">
        <v>304.7</v>
      </c>
      <c r="Q7" s="4">
        <v>226626.83</v>
      </c>
      <c r="R7" s="9">
        <v>44327.291666666664</v>
      </c>
      <c r="S7" s="4">
        <v>123.6</v>
      </c>
      <c r="T7" s="4">
        <v>225232.55</v>
      </c>
      <c r="U7" s="9">
        <v>44328.295138888891</v>
      </c>
      <c r="V7" s="4">
        <v>28.6</v>
      </c>
      <c r="W7" s="4">
        <v>271844.94</v>
      </c>
      <c r="X7" s="7"/>
      <c r="Y7" s="4"/>
      <c r="Z7" s="4"/>
      <c r="AA7" s="9"/>
      <c r="AB7" s="4"/>
      <c r="AC7" s="4"/>
      <c r="AD7" s="8">
        <v>44326.628472222219</v>
      </c>
      <c r="AE7" s="8">
        <v>44334.479166666664</v>
      </c>
      <c r="AF7" s="1">
        <v>2831.75</v>
      </c>
      <c r="AG7" s="8">
        <v>44327.333333333336</v>
      </c>
      <c r="AH7" s="8">
        <v>44334.479166666664</v>
      </c>
      <c r="AI7" s="1">
        <v>1888.75</v>
      </c>
      <c r="AJ7" s="8">
        <v>44328.333333333336</v>
      </c>
      <c r="AK7" s="8">
        <v>44334.479166666664</v>
      </c>
      <c r="AL7" s="1">
        <v>592.5</v>
      </c>
      <c r="AM7" s="8">
        <v>44329.336805555555</v>
      </c>
      <c r="AN7" s="8">
        <v>44334.479166666664</v>
      </c>
      <c r="AO7" s="1">
        <v>186.5</v>
      </c>
      <c r="AP7" s="8"/>
      <c r="AQ7" s="9"/>
      <c r="AR7" s="4"/>
    </row>
    <row r="8" spans="1:44" ht="15.75" thickBot="1" x14ac:dyDescent="0.3">
      <c r="A8" s="1">
        <v>7</v>
      </c>
      <c r="B8" s="3"/>
      <c r="C8" s="1" t="s">
        <v>33</v>
      </c>
      <c r="D8" s="22"/>
      <c r="E8" s="1">
        <v>175</v>
      </c>
      <c r="F8" s="17">
        <v>84</v>
      </c>
      <c r="G8" s="19">
        <v>74.91</v>
      </c>
      <c r="H8" s="6">
        <v>44376.438194444447</v>
      </c>
      <c r="I8" s="24">
        <v>44376.438194444447</v>
      </c>
      <c r="J8" s="1">
        <v>7.77</v>
      </c>
      <c r="K8" s="24">
        <v>44376.438194444447</v>
      </c>
      <c r="L8" s="1">
        <v>200</v>
      </c>
      <c r="M8" s="1">
        <v>78275.5</v>
      </c>
      <c r="N8" s="1"/>
      <c r="O8" s="6">
        <v>44376.503472222219</v>
      </c>
      <c r="P8" s="1">
        <v>210.1</v>
      </c>
      <c r="Q8" s="1">
        <v>299139.01</v>
      </c>
      <c r="R8" s="9">
        <v>44377.29583333333</v>
      </c>
      <c r="S8" s="4">
        <v>99.4</v>
      </c>
      <c r="T8" s="4">
        <v>306135.40000000002</v>
      </c>
      <c r="U8" s="9">
        <v>44378.385416666664</v>
      </c>
      <c r="V8" s="4">
        <v>44.8</v>
      </c>
      <c r="W8" s="4">
        <v>286565.13</v>
      </c>
      <c r="X8" s="7"/>
      <c r="Y8" s="4"/>
      <c r="Z8" s="4"/>
      <c r="AA8" s="9"/>
      <c r="AB8" s="4"/>
      <c r="AC8" s="4"/>
      <c r="AD8" s="8">
        <v>44376.5</v>
      </c>
      <c r="AE8" s="8">
        <v>44378.625</v>
      </c>
      <c r="AF8" s="1">
        <v>7020.25</v>
      </c>
      <c r="AG8" s="8">
        <v>44377.350694444445</v>
      </c>
      <c r="AH8" s="8">
        <v>44378.625</v>
      </c>
      <c r="AI8" s="1">
        <v>3177</v>
      </c>
      <c r="AJ8" s="8">
        <v>44378.436111111114</v>
      </c>
      <c r="AK8" s="8">
        <v>44378.625</v>
      </c>
      <c r="AL8" s="1">
        <v>1263</v>
      </c>
      <c r="AM8" s="8"/>
      <c r="AN8" s="8"/>
      <c r="AO8" s="1"/>
      <c r="AP8" s="8"/>
      <c r="AQ8" s="9"/>
      <c r="AR8" s="4"/>
    </row>
    <row r="9" spans="1:44" x14ac:dyDescent="0.25">
      <c r="A9" s="1">
        <v>8</v>
      </c>
      <c r="B9" s="28"/>
      <c r="C9" s="5" t="s">
        <v>34</v>
      </c>
      <c r="D9" s="21"/>
      <c r="E9" s="5">
        <v>173</v>
      </c>
      <c r="F9" s="16">
        <v>63.2</v>
      </c>
      <c r="G9" s="19">
        <v>53.84</v>
      </c>
      <c r="H9" s="7">
        <v>44690.670138888891</v>
      </c>
      <c r="I9" s="7">
        <v>44690.618055555555</v>
      </c>
      <c r="J9" s="3">
        <v>1.01</v>
      </c>
      <c r="K9" s="6"/>
      <c r="L9" s="10"/>
      <c r="M9" s="1"/>
      <c r="N9" s="1"/>
      <c r="O9" s="8">
        <v>44690.750694444447</v>
      </c>
      <c r="P9" s="1">
        <v>205.3</v>
      </c>
      <c r="Q9" s="1">
        <v>204481.18</v>
      </c>
      <c r="R9" s="8">
        <v>44691.320833333331</v>
      </c>
      <c r="S9" s="1">
        <v>118.1</v>
      </c>
      <c r="T9" s="1">
        <v>197253.58</v>
      </c>
      <c r="U9" s="8">
        <v>44692.318749999999</v>
      </c>
      <c r="V9" s="1">
        <v>49.9</v>
      </c>
      <c r="W9" s="1">
        <v>206486.31</v>
      </c>
      <c r="X9" s="7">
        <v>44693.297222222223</v>
      </c>
      <c r="Y9" s="1">
        <v>22.1</v>
      </c>
      <c r="Z9" s="1">
        <v>194052</v>
      </c>
      <c r="AA9" s="8">
        <v>44694.297222222223</v>
      </c>
      <c r="AB9" s="1">
        <v>13.2</v>
      </c>
      <c r="AC9" s="1">
        <v>224672</v>
      </c>
      <c r="AD9" s="8"/>
      <c r="AE9" s="8"/>
      <c r="AF9" s="1"/>
      <c r="AG9" s="8"/>
      <c r="AH9" s="8"/>
      <c r="AI9" s="1"/>
      <c r="AJ9" s="8"/>
      <c r="AK9" s="8"/>
      <c r="AL9" s="1"/>
      <c r="AM9" s="8"/>
      <c r="AN9" s="8"/>
      <c r="AO9" s="1"/>
      <c r="AP9" s="8"/>
      <c r="AQ9" s="8"/>
      <c r="AR9" s="1"/>
    </row>
    <row r="10" spans="1:44" x14ac:dyDescent="0.25">
      <c r="A10" s="1">
        <v>9</v>
      </c>
      <c r="B10" s="1"/>
      <c r="C10" s="1" t="s">
        <v>33</v>
      </c>
      <c r="D10" s="22"/>
      <c r="E10" s="1">
        <v>183</v>
      </c>
      <c r="F10" s="1">
        <v>91.1</v>
      </c>
      <c r="G10" s="1">
        <v>52.2</v>
      </c>
      <c r="H10" s="6">
        <v>44753.616666666669</v>
      </c>
      <c r="I10" s="24">
        <v>44753.625</v>
      </c>
      <c r="J10" s="1">
        <v>5.07</v>
      </c>
      <c r="K10" s="24">
        <v>44757.347916666666</v>
      </c>
      <c r="L10" s="1">
        <v>200</v>
      </c>
      <c r="M10" s="1">
        <v>54412.6</v>
      </c>
      <c r="N10" s="1"/>
      <c r="O10" s="24">
        <v>44753.724305555559</v>
      </c>
      <c r="P10" s="1">
        <v>152.1</v>
      </c>
      <c r="Q10" s="1">
        <v>300475.75</v>
      </c>
      <c r="R10" s="6">
        <v>44754.329861111109</v>
      </c>
      <c r="S10" s="1">
        <v>62.7</v>
      </c>
      <c r="T10" s="1">
        <v>269542.37</v>
      </c>
      <c r="U10" s="24">
        <v>44755.320833333331</v>
      </c>
      <c r="V10" s="1">
        <v>13.1</v>
      </c>
      <c r="W10" s="1">
        <v>284515.40999999997</v>
      </c>
      <c r="X10" s="24">
        <v>44757.307638888888</v>
      </c>
      <c r="Y10" s="1">
        <v>2.0099999999999998</v>
      </c>
      <c r="Z10" s="1">
        <v>179860</v>
      </c>
      <c r="AA10" s="1"/>
      <c r="AB10" s="1"/>
      <c r="AC10" s="1"/>
      <c r="AD10" s="30">
        <v>44753.770138888889</v>
      </c>
      <c r="AE10" s="24">
        <v>44757.347916666666</v>
      </c>
      <c r="AF10" s="1">
        <v>4099.8</v>
      </c>
      <c r="AG10" s="8">
        <v>44754.369444444441</v>
      </c>
      <c r="AH10" s="24">
        <v>44757.347916666666</v>
      </c>
      <c r="AI10" s="1">
        <v>1587.7</v>
      </c>
      <c r="AJ10" s="8">
        <v>44755.322916666664</v>
      </c>
      <c r="AK10" s="24">
        <v>44757.347916666666</v>
      </c>
      <c r="AL10" s="1">
        <v>495.36</v>
      </c>
      <c r="AM10" s="8">
        <v>44757.313194444447</v>
      </c>
      <c r="AN10" s="24">
        <v>44757.347916666666</v>
      </c>
      <c r="AO10" s="1">
        <v>65</v>
      </c>
      <c r="AP10" s="8"/>
      <c r="AQ10" s="8"/>
      <c r="AR10" s="1"/>
    </row>
    <row r="11" spans="1:44" x14ac:dyDescent="0.25">
      <c r="A11" s="1">
        <v>10</v>
      </c>
      <c r="B11" s="1"/>
      <c r="C11" s="1" t="s">
        <v>34</v>
      </c>
      <c r="D11" s="22"/>
      <c r="E11" s="1">
        <v>173</v>
      </c>
      <c r="F11" s="1">
        <v>76.2</v>
      </c>
      <c r="G11" s="1"/>
      <c r="H11" s="6">
        <v>44753.616666666669</v>
      </c>
      <c r="I11" s="24">
        <v>44753.625</v>
      </c>
      <c r="J11" s="1">
        <v>5.07</v>
      </c>
      <c r="K11" s="24">
        <v>44757.347916666666</v>
      </c>
      <c r="L11" s="1">
        <v>200</v>
      </c>
      <c r="M11" s="1">
        <v>54412.6</v>
      </c>
      <c r="N11" s="1"/>
      <c r="O11" s="24">
        <v>44753.684027777781</v>
      </c>
      <c r="P11" s="1">
        <v>189.2</v>
      </c>
      <c r="Q11" s="1">
        <v>218342</v>
      </c>
      <c r="R11" s="24">
        <v>44754.285416666666</v>
      </c>
      <c r="S11" s="1">
        <v>61.2</v>
      </c>
      <c r="T11" s="1">
        <v>215990</v>
      </c>
      <c r="U11" s="24">
        <v>44755.285416666666</v>
      </c>
      <c r="V11" s="1">
        <v>6.67</v>
      </c>
      <c r="W11" s="1">
        <v>204668</v>
      </c>
      <c r="X11" s="1"/>
      <c r="Y11" s="1"/>
      <c r="Z11" s="1"/>
      <c r="AA11" s="1"/>
      <c r="AB11" s="1"/>
      <c r="AC11" s="1"/>
      <c r="AD11" s="8">
        <v>44753.729166666664</v>
      </c>
      <c r="AE11" s="8">
        <v>44756.715277777781</v>
      </c>
      <c r="AF11" s="1">
        <v>4672</v>
      </c>
      <c r="AG11" s="8">
        <v>44754.333333333336</v>
      </c>
      <c r="AH11" s="8">
        <v>44756.715277777781</v>
      </c>
      <c r="AI11" s="1">
        <v>1810</v>
      </c>
      <c r="AJ11" s="8">
        <v>44756.329861111109</v>
      </c>
      <c r="AK11" s="8">
        <v>44756.715277777781</v>
      </c>
      <c r="AL11" s="1">
        <v>280</v>
      </c>
      <c r="AM11" s="8"/>
      <c r="AN11" s="8"/>
      <c r="AO11" s="1"/>
      <c r="AP11" s="8"/>
      <c r="AQ11" s="8"/>
      <c r="AR11" s="1"/>
    </row>
    <row r="12" spans="1:44" x14ac:dyDescent="0.25">
      <c r="A12" s="5">
        <v>11</v>
      </c>
      <c r="B12" s="1"/>
      <c r="C12" s="1" t="s">
        <v>33</v>
      </c>
      <c r="D12" s="22"/>
      <c r="E12" s="1">
        <v>161</v>
      </c>
      <c r="F12" s="1">
        <v>65</v>
      </c>
      <c r="G12" s="1">
        <v>53.6</v>
      </c>
      <c r="H12" s="24">
        <v>45054.601388888892</v>
      </c>
      <c r="I12" s="24">
        <v>45057.324999999997</v>
      </c>
      <c r="J12" s="1">
        <v>7.26</v>
      </c>
      <c r="K12" s="24">
        <v>45057.681250000001</v>
      </c>
      <c r="L12" s="1">
        <v>200</v>
      </c>
      <c r="M12" s="1">
        <v>181422.28750000001</v>
      </c>
      <c r="N12" s="1"/>
      <c r="O12" s="31">
        <v>45054.665277777778</v>
      </c>
      <c r="P12" s="1">
        <v>186</v>
      </c>
      <c r="Q12" s="1">
        <v>273151</v>
      </c>
      <c r="R12" s="24">
        <v>45055.313194444447</v>
      </c>
      <c r="S12" s="1">
        <v>86.5</v>
      </c>
      <c r="T12" s="1">
        <v>280330.87</v>
      </c>
      <c r="U12" s="24">
        <v>45056.303472222222</v>
      </c>
      <c r="V12" s="1">
        <v>55.1</v>
      </c>
      <c r="W12" s="1">
        <v>223941.78</v>
      </c>
      <c r="X12" s="1"/>
      <c r="Y12" s="1"/>
      <c r="Z12" s="1"/>
      <c r="AA12" s="1"/>
      <c r="AB12" s="1"/>
      <c r="AC12" s="1"/>
      <c r="AD12" s="31">
        <v>45054.704861111109</v>
      </c>
      <c r="AE12" s="31">
        <v>45057.698611111111</v>
      </c>
      <c r="AF12" s="1">
        <v>6262.7929999999997</v>
      </c>
      <c r="AG12" s="8">
        <v>45055.399305555555</v>
      </c>
      <c r="AH12" s="8">
        <v>45057.70416666667</v>
      </c>
      <c r="AI12" s="1">
        <v>4229.2449999999999</v>
      </c>
      <c r="AJ12" s="8">
        <v>45056.348611111112</v>
      </c>
      <c r="AK12" s="8">
        <v>45057.710416666669</v>
      </c>
      <c r="AL12" s="1">
        <v>1695.963</v>
      </c>
      <c r="AM12" s="8"/>
      <c r="AN12" s="8"/>
      <c r="AO12" s="1"/>
      <c r="AP12" s="8"/>
      <c r="AQ12" s="8"/>
      <c r="AR12" s="1"/>
    </row>
    <row r="13" spans="1:44" x14ac:dyDescent="0.25">
      <c r="A13" s="1">
        <v>12</v>
      </c>
      <c r="B13" s="1"/>
      <c r="C13" s="1" t="s">
        <v>33</v>
      </c>
      <c r="D13" s="22"/>
      <c r="E13" s="1">
        <v>161</v>
      </c>
      <c r="F13" s="1">
        <v>65</v>
      </c>
      <c r="G13" s="32">
        <v>42.37</v>
      </c>
      <c r="H13" s="24">
        <v>45054.601388888892</v>
      </c>
      <c r="I13" s="24">
        <v>45057.324999999997</v>
      </c>
      <c r="J13" s="1">
        <v>7.26</v>
      </c>
      <c r="K13" s="24">
        <v>45057.681250000001</v>
      </c>
      <c r="L13" s="1">
        <v>200</v>
      </c>
      <c r="M13" s="1">
        <v>181422.28750000001</v>
      </c>
      <c r="N13" s="1"/>
      <c r="O13" s="31">
        <v>45054.665277777778</v>
      </c>
      <c r="P13" s="1">
        <v>175.6</v>
      </c>
      <c r="Q13" s="1">
        <v>289330</v>
      </c>
      <c r="R13" s="24">
        <v>45055.313194444447</v>
      </c>
      <c r="S13" s="1">
        <v>94.1</v>
      </c>
      <c r="T13" s="1">
        <v>257677.52</v>
      </c>
      <c r="U13" s="24">
        <v>45056.303472222222</v>
      </c>
      <c r="V13" s="1">
        <v>56.1</v>
      </c>
      <c r="W13" s="1">
        <v>220148.13</v>
      </c>
      <c r="X13" s="1"/>
      <c r="Y13" s="1"/>
      <c r="Z13" s="1"/>
      <c r="AA13" s="1"/>
      <c r="AB13" s="1"/>
      <c r="AC13" s="1"/>
      <c r="AD13" s="31">
        <v>45054.704861111109</v>
      </c>
      <c r="AE13" s="31">
        <v>45057.698611111111</v>
      </c>
      <c r="AF13" s="1">
        <v>6262.7929999999997</v>
      </c>
      <c r="AG13" s="8">
        <v>45055.399305555555</v>
      </c>
      <c r="AH13" s="8">
        <v>45057.70416666667</v>
      </c>
      <c r="AI13" s="1">
        <v>4229.2449999999999</v>
      </c>
      <c r="AJ13" s="8">
        <v>45056.348611111112</v>
      </c>
      <c r="AK13" s="8">
        <v>45057.710416666669</v>
      </c>
      <c r="AL13" s="1">
        <v>1695.963</v>
      </c>
      <c r="AM13" s="8"/>
      <c r="AN13" s="8"/>
      <c r="AO13" s="1"/>
      <c r="AP13" s="8"/>
      <c r="AQ13" s="8"/>
      <c r="AR13" s="1"/>
    </row>
    <row r="14" spans="1:44" x14ac:dyDescent="0.25">
      <c r="A14" s="1">
        <v>13</v>
      </c>
      <c r="B14" s="1"/>
      <c r="C14" s="1" t="s">
        <v>34</v>
      </c>
      <c r="D14" s="22"/>
      <c r="E14" s="1">
        <v>171</v>
      </c>
      <c r="F14" s="1">
        <v>65</v>
      </c>
      <c r="G14" s="1">
        <v>52.12</v>
      </c>
      <c r="H14" s="24">
        <v>45054.623611111114</v>
      </c>
      <c r="I14" s="24">
        <v>45057.324999999997</v>
      </c>
      <c r="J14" s="1">
        <v>7.26</v>
      </c>
      <c r="K14" s="24">
        <v>45057.63958333333</v>
      </c>
      <c r="L14" s="1">
        <v>200</v>
      </c>
      <c r="M14" s="1">
        <v>184101.42249999999</v>
      </c>
      <c r="N14" s="1"/>
      <c r="O14" s="24">
        <v>45054.706250000003</v>
      </c>
      <c r="P14" s="1">
        <v>164.1</v>
      </c>
      <c r="Q14" s="1">
        <v>257108.57</v>
      </c>
      <c r="R14" s="24">
        <v>45055.354861111111</v>
      </c>
      <c r="S14" s="1">
        <v>86</v>
      </c>
      <c r="T14" s="1">
        <v>232375.45</v>
      </c>
      <c r="U14" s="24">
        <v>45056.348611111112</v>
      </c>
      <c r="V14" s="1">
        <v>29.3</v>
      </c>
      <c r="W14" s="1">
        <v>234225.22</v>
      </c>
      <c r="X14" s="1"/>
      <c r="Y14" s="1"/>
      <c r="Z14" s="1"/>
      <c r="AA14" s="1"/>
      <c r="AB14" s="1"/>
      <c r="AC14" s="1"/>
      <c r="AD14" s="31">
        <v>45054.690972222219</v>
      </c>
      <c r="AE14" s="31">
        <v>45057.656944444447</v>
      </c>
      <c r="AF14" s="1">
        <v>5797.518</v>
      </c>
      <c r="AG14" s="8">
        <v>45055.326388888891</v>
      </c>
      <c r="AH14" s="8">
        <v>45057.663194444445</v>
      </c>
      <c r="AI14" s="1">
        <v>4120.098</v>
      </c>
      <c r="AJ14" s="8">
        <v>45056.336805555555</v>
      </c>
      <c r="AK14" s="8">
        <v>45057.669444444444</v>
      </c>
      <c r="AL14" s="1">
        <v>1331.038</v>
      </c>
      <c r="AM14" s="8"/>
      <c r="AN14" s="8"/>
      <c r="AO14" s="1"/>
      <c r="AP14" s="8"/>
      <c r="AQ14" s="8"/>
      <c r="AR14" s="1"/>
    </row>
    <row r="15" spans="1:44" x14ac:dyDescent="0.25">
      <c r="A15" s="1">
        <v>14</v>
      </c>
      <c r="B15" s="1"/>
      <c r="C15" s="1" t="s">
        <v>34</v>
      </c>
      <c r="D15" s="22"/>
      <c r="E15" s="1">
        <v>171</v>
      </c>
      <c r="F15" s="1">
        <v>65</v>
      </c>
      <c r="G15" s="1">
        <v>41.38</v>
      </c>
      <c r="H15" s="24">
        <v>45054.623611111114</v>
      </c>
      <c r="I15" s="24">
        <v>45057.324999999997</v>
      </c>
      <c r="J15" s="1">
        <v>7.26</v>
      </c>
      <c r="K15" s="24">
        <v>45057.63958333333</v>
      </c>
      <c r="L15" s="1">
        <v>200</v>
      </c>
      <c r="M15" s="1">
        <v>184101.42249999999</v>
      </c>
      <c r="N15" s="1"/>
      <c r="O15" s="24">
        <v>45054.706250000003</v>
      </c>
      <c r="P15" s="1">
        <v>158.9</v>
      </c>
      <c r="Q15" s="1">
        <v>265684.77</v>
      </c>
      <c r="R15" s="24">
        <v>45055.354861111111</v>
      </c>
      <c r="S15" s="1">
        <v>89.5</v>
      </c>
      <c r="T15" s="1">
        <v>223435.23</v>
      </c>
      <c r="U15" s="24">
        <v>45056.348611111112</v>
      </c>
      <c r="V15" s="1">
        <v>29.1</v>
      </c>
      <c r="W15" s="1">
        <v>235485.29</v>
      </c>
      <c r="X15" s="1"/>
      <c r="Y15" s="1"/>
      <c r="Z15" s="1"/>
      <c r="AA15" s="1"/>
      <c r="AB15" s="1"/>
      <c r="AC15" s="1"/>
      <c r="AD15" s="31">
        <v>45054.690972222219</v>
      </c>
      <c r="AE15" s="31">
        <v>45057.656944444447</v>
      </c>
      <c r="AF15" s="1">
        <v>5797.518</v>
      </c>
      <c r="AG15" s="8">
        <v>45055.326388888891</v>
      </c>
      <c r="AH15" s="8">
        <v>45057.663194444445</v>
      </c>
      <c r="AI15" s="1">
        <v>4120.098</v>
      </c>
      <c r="AJ15" s="8">
        <v>45056.336805555555</v>
      </c>
      <c r="AK15" s="8">
        <v>45057.669444444444</v>
      </c>
      <c r="AL15" s="1">
        <v>1331.038</v>
      </c>
      <c r="AM15" s="8"/>
      <c r="AN15" s="8"/>
      <c r="AO15" s="1"/>
      <c r="AP15" s="8"/>
      <c r="AQ15" s="8"/>
      <c r="AR15" s="1"/>
    </row>
    <row r="16" spans="1:44" x14ac:dyDescent="0.25">
      <c r="A16" s="1">
        <v>15</v>
      </c>
      <c r="B16" s="1"/>
      <c r="C16" s="1" t="s">
        <v>34</v>
      </c>
      <c r="D16" s="22"/>
      <c r="E16" s="1">
        <v>159</v>
      </c>
      <c r="F16" s="1">
        <v>75.5</v>
      </c>
      <c r="G16" s="1">
        <v>62.14</v>
      </c>
      <c r="H16" s="24">
        <v>45264.615277777775</v>
      </c>
      <c r="I16" s="24">
        <v>45265.432638888888</v>
      </c>
      <c r="J16" s="1">
        <v>9.6300000000000008</v>
      </c>
      <c r="K16" s="24">
        <v>45267.423611111109</v>
      </c>
      <c r="L16" s="1">
        <v>200</v>
      </c>
      <c r="M16" s="1">
        <v>306837.78000000003</v>
      </c>
      <c r="N16" s="1"/>
      <c r="O16" s="24">
        <v>45264.691666666666</v>
      </c>
      <c r="P16" s="1">
        <v>289.3</v>
      </c>
      <c r="Q16" s="33">
        <v>207183.95</v>
      </c>
      <c r="R16" s="24">
        <v>45265.326388888891</v>
      </c>
      <c r="S16" s="1">
        <v>132.9</v>
      </c>
      <c r="T16" s="1">
        <v>220879.81</v>
      </c>
      <c r="U16" s="24">
        <v>45266.34652777778</v>
      </c>
      <c r="V16" s="1">
        <v>83.1</v>
      </c>
      <c r="W16" s="1">
        <v>197904.34</v>
      </c>
      <c r="X16" s="24">
        <v>45267.352777777778</v>
      </c>
      <c r="Y16" s="1">
        <v>55.5</v>
      </c>
      <c r="Z16" s="1">
        <v>187894.05</v>
      </c>
      <c r="AA16" s="1"/>
      <c r="AB16" s="1"/>
      <c r="AC16" s="1"/>
      <c r="AD16" s="31">
        <v>45264.677083333336</v>
      </c>
      <c r="AE16" s="31">
        <v>45267.368055555555</v>
      </c>
      <c r="AF16" s="1">
        <v>21910.834999999999</v>
      </c>
      <c r="AG16" s="8">
        <v>45265.311111111114</v>
      </c>
      <c r="AH16" s="8">
        <v>45267.381944444445</v>
      </c>
      <c r="AI16" s="1">
        <v>8969.5</v>
      </c>
      <c r="AJ16" s="8">
        <v>45266.354166666664</v>
      </c>
      <c r="AK16" s="8">
        <v>45267.395833333336</v>
      </c>
      <c r="AL16" s="1">
        <v>6252.4624999999996</v>
      </c>
      <c r="AM16" s="8">
        <v>45267.314583333333</v>
      </c>
      <c r="AN16" s="8">
        <v>45267.409722222219</v>
      </c>
      <c r="AO16" s="1">
        <v>5409.22</v>
      </c>
      <c r="AP16" s="8"/>
      <c r="AQ16" s="8"/>
      <c r="AR16" s="1"/>
    </row>
    <row r="17" spans="1:44" x14ac:dyDescent="0.25">
      <c r="A17" s="5">
        <v>16</v>
      </c>
      <c r="B17" s="1"/>
      <c r="C17" s="1" t="s">
        <v>34</v>
      </c>
      <c r="D17" s="22"/>
      <c r="E17" s="1">
        <v>160</v>
      </c>
      <c r="F17" s="1">
        <v>61.6</v>
      </c>
      <c r="G17" s="1">
        <v>60.36</v>
      </c>
      <c r="H17" s="24">
        <v>45313.607638888891</v>
      </c>
      <c r="I17" s="24">
        <v>45313.594444444447</v>
      </c>
      <c r="J17" s="1">
        <v>4.46</v>
      </c>
      <c r="K17" s="24">
        <v>45316.597222222219</v>
      </c>
      <c r="L17" s="1">
        <v>200</v>
      </c>
      <c r="M17" s="1">
        <v>42717.35</v>
      </c>
      <c r="N17" s="1"/>
      <c r="O17" s="24">
        <v>45313.68472222222</v>
      </c>
      <c r="P17" s="1">
        <v>261.7</v>
      </c>
      <c r="Q17" s="1">
        <v>153824.09</v>
      </c>
      <c r="R17" s="24">
        <v>45314.301388888889</v>
      </c>
      <c r="S17" s="1">
        <v>125.1</v>
      </c>
      <c r="T17" s="1">
        <v>162736.51999999999</v>
      </c>
      <c r="U17" s="24">
        <v>45315.308333333334</v>
      </c>
      <c r="V17" s="1">
        <v>41</v>
      </c>
      <c r="W17" s="1">
        <v>154283.01</v>
      </c>
      <c r="X17" s="24"/>
      <c r="Y17" s="1"/>
      <c r="Z17" s="1"/>
      <c r="AA17" s="1"/>
      <c r="AB17" s="1"/>
      <c r="AC17" s="1"/>
      <c r="AD17" s="31">
        <v>45313.672222222223</v>
      </c>
      <c r="AE17" s="31">
        <v>45316.617361111108</v>
      </c>
      <c r="AF17" s="1">
        <v>8284.7000000000007</v>
      </c>
      <c r="AG17" s="8">
        <v>45314.354166666664</v>
      </c>
      <c r="AH17" s="8">
        <v>45316.623611111114</v>
      </c>
      <c r="AI17" s="1">
        <v>4082.7325000000001</v>
      </c>
      <c r="AJ17" s="8">
        <v>45315.352083333331</v>
      </c>
      <c r="AK17" s="8">
        <v>45316.629861111112</v>
      </c>
      <c r="AL17" s="1">
        <v>1627.7349999999999</v>
      </c>
      <c r="AM17" s="8"/>
      <c r="AN17" s="8"/>
      <c r="AO17" s="1"/>
      <c r="AP17" s="8"/>
      <c r="AQ17" s="8"/>
      <c r="AR17" s="1"/>
    </row>
    <row r="18" spans="1:44" x14ac:dyDescent="0.25">
      <c r="A18" s="1">
        <v>17</v>
      </c>
      <c r="B18" s="1"/>
      <c r="C18" s="1" t="s">
        <v>34</v>
      </c>
      <c r="D18" s="22"/>
      <c r="E18" s="1">
        <v>157</v>
      </c>
      <c r="F18" s="1">
        <v>60</v>
      </c>
      <c r="G18" s="1">
        <v>57.74</v>
      </c>
      <c r="H18" s="24">
        <v>45341.649305555555</v>
      </c>
      <c r="I18" s="24">
        <v>45341.583333333336</v>
      </c>
      <c r="J18" s="1">
        <v>1.5</v>
      </c>
      <c r="K18" s="24">
        <v>45344.416666666664</v>
      </c>
      <c r="L18" s="1">
        <v>200</v>
      </c>
      <c r="M18" s="1">
        <v>16322.772499999999</v>
      </c>
      <c r="N18" s="1">
        <v>2.2250000000000001</v>
      </c>
      <c r="O18" s="24">
        <v>45341.729861111111</v>
      </c>
      <c r="P18" s="1">
        <v>292.2</v>
      </c>
      <c r="Q18" s="1">
        <v>187591.24</v>
      </c>
      <c r="R18" s="24">
        <v>45342.309027777781</v>
      </c>
      <c r="S18" s="1">
        <v>191.9</v>
      </c>
      <c r="T18" s="1">
        <v>199913.81</v>
      </c>
      <c r="U18" s="24">
        <v>45343.304861111108</v>
      </c>
      <c r="V18" s="1">
        <v>108.1</v>
      </c>
      <c r="W18" s="1">
        <v>199913.81</v>
      </c>
      <c r="X18" s="24">
        <v>45344.311805555553</v>
      </c>
      <c r="Y18" s="1">
        <v>69.099999999999994</v>
      </c>
      <c r="Z18" s="1">
        <v>213997.92</v>
      </c>
      <c r="AA18" s="1"/>
      <c r="AB18" s="1"/>
      <c r="AC18" s="1"/>
      <c r="AD18" s="31">
        <v>45341.71875</v>
      </c>
      <c r="AE18" s="31">
        <v>45344.423611111109</v>
      </c>
      <c r="AF18" s="1">
        <v>9925.67</v>
      </c>
      <c r="AG18" s="8">
        <v>45342.348611111112</v>
      </c>
      <c r="AH18" s="8">
        <v>45344.429861111108</v>
      </c>
      <c r="AI18" s="1">
        <v>7427.3424999999997</v>
      </c>
      <c r="AJ18" s="8">
        <v>45343.344444444447</v>
      </c>
      <c r="AK18" s="8">
        <v>45344.436111111114</v>
      </c>
      <c r="AL18" s="1">
        <v>5493.23</v>
      </c>
      <c r="AM18" s="8">
        <v>45344.298611111109</v>
      </c>
      <c r="AN18" s="8">
        <v>45344.442361111112</v>
      </c>
      <c r="AO18" s="1">
        <v>3864.9324999999999</v>
      </c>
      <c r="AP18" s="8"/>
      <c r="AQ18" s="8"/>
      <c r="AR18" s="1"/>
    </row>
    <row r="19" spans="1:44" x14ac:dyDescent="0.25">
      <c r="A19" s="1">
        <v>18</v>
      </c>
      <c r="B19" s="1"/>
      <c r="C19" s="1" t="s">
        <v>34</v>
      </c>
      <c r="D19" s="22"/>
      <c r="E19" s="1">
        <v>162</v>
      </c>
      <c r="F19" s="1">
        <v>49</v>
      </c>
      <c r="G19" s="1">
        <v>56.7</v>
      </c>
      <c r="H19" s="24">
        <v>45355.602777777778</v>
      </c>
      <c r="I19" s="24">
        <v>45355.611805555556</v>
      </c>
      <c r="J19" s="1">
        <v>12.16</v>
      </c>
      <c r="K19" s="24">
        <v>45358.449305555558</v>
      </c>
      <c r="L19" s="1">
        <v>200</v>
      </c>
      <c r="M19" s="1">
        <v>200030.7225</v>
      </c>
      <c r="N19" s="1">
        <v>21.497499999999999</v>
      </c>
      <c r="O19" s="24">
        <v>45355.695138888892</v>
      </c>
      <c r="P19" s="1">
        <v>283</v>
      </c>
      <c r="Q19" s="1">
        <v>175908.93</v>
      </c>
      <c r="R19" s="24">
        <v>45356.331250000003</v>
      </c>
      <c r="S19" s="1">
        <v>128.4</v>
      </c>
      <c r="T19" s="1">
        <v>184700.36</v>
      </c>
      <c r="U19" s="24">
        <v>45357.322916666664</v>
      </c>
      <c r="V19" s="1">
        <v>61.9</v>
      </c>
      <c r="W19" s="1">
        <v>177940.34</v>
      </c>
      <c r="X19" s="24">
        <v>45358.324305555558</v>
      </c>
      <c r="Y19" s="1">
        <v>32</v>
      </c>
      <c r="Z19" s="1">
        <v>168165.3</v>
      </c>
      <c r="AA19" s="1"/>
      <c r="AB19" s="1"/>
      <c r="AC19" s="1"/>
      <c r="AD19" s="31">
        <v>45355.677777777775</v>
      </c>
      <c r="AE19" s="31">
        <v>45358.427083333336</v>
      </c>
      <c r="AF19" s="1">
        <v>12823.942499999999</v>
      </c>
      <c r="AG19" s="8">
        <v>45356.381944444445</v>
      </c>
      <c r="AH19" s="8">
        <v>45358.432638888888</v>
      </c>
      <c r="AI19" s="1">
        <v>6801.4449999999997</v>
      </c>
      <c r="AJ19" s="8">
        <v>45357.364583333336</v>
      </c>
      <c r="AK19" s="8">
        <v>45358.438194444447</v>
      </c>
      <c r="AL19" s="1">
        <v>3542.1750000000002</v>
      </c>
      <c r="AM19" s="8">
        <v>45358.364583333336</v>
      </c>
      <c r="AN19" s="8">
        <v>45358.443749999999</v>
      </c>
      <c r="AO19" s="1">
        <v>1927.43</v>
      </c>
      <c r="AP19" s="8"/>
      <c r="AQ19" s="8"/>
      <c r="AR19" s="1"/>
    </row>
    <row r="20" spans="1:44" x14ac:dyDescent="0.25">
      <c r="A20" s="1">
        <v>19</v>
      </c>
      <c r="B20" s="1"/>
      <c r="C20" s="1" t="s">
        <v>34</v>
      </c>
      <c r="D20" s="22"/>
      <c r="E20" s="1">
        <v>169</v>
      </c>
      <c r="F20" s="1">
        <v>99.8</v>
      </c>
      <c r="G20" s="1">
        <v>50.3</v>
      </c>
      <c r="H20" s="24">
        <v>45467.598611111112</v>
      </c>
      <c r="I20" s="24">
        <v>45467.631944444445</v>
      </c>
      <c r="J20" s="1">
        <v>3.27</v>
      </c>
      <c r="K20" s="24">
        <v>45471.715277777781</v>
      </c>
      <c r="L20" s="1">
        <v>200</v>
      </c>
      <c r="M20" s="1">
        <v>56585.58</v>
      </c>
      <c r="N20" s="1">
        <v>19.855</v>
      </c>
      <c r="O20" s="24">
        <v>45467.672835648147</v>
      </c>
      <c r="P20" s="1">
        <v>242.1</v>
      </c>
      <c r="Q20" s="1">
        <v>253823.17</v>
      </c>
      <c r="R20" s="24">
        <v>45469.306527777779</v>
      </c>
      <c r="S20" s="1">
        <v>96.5</v>
      </c>
      <c r="T20" s="1">
        <v>221474.73</v>
      </c>
      <c r="U20" s="24">
        <v>45470.319479166668</v>
      </c>
      <c r="V20" s="1">
        <v>52.7</v>
      </c>
      <c r="W20" s="1">
        <v>236700.23</v>
      </c>
      <c r="X20" s="24"/>
      <c r="Y20" s="1"/>
      <c r="Z20" s="1"/>
      <c r="AA20" s="1"/>
      <c r="AB20" s="1"/>
      <c r="AC20" s="1"/>
      <c r="AD20" s="31">
        <v>45467.659722222219</v>
      </c>
      <c r="AE20" s="31">
        <v>45471.72152777778</v>
      </c>
      <c r="AF20" s="1">
        <v>4204.2375000000002</v>
      </c>
      <c r="AG20" s="8">
        <v>45469.355555555558</v>
      </c>
      <c r="AH20" s="8">
        <v>45471.727777777778</v>
      </c>
      <c r="AI20" s="1">
        <v>2196.85</v>
      </c>
      <c r="AJ20" s="8">
        <v>45470.354166666664</v>
      </c>
      <c r="AK20" s="8">
        <v>45471.734027777777</v>
      </c>
      <c r="AL20" s="1">
        <v>1841.075</v>
      </c>
      <c r="AM20" s="8"/>
      <c r="AN20" s="8"/>
      <c r="AO20" s="1"/>
      <c r="AP20" s="8"/>
      <c r="AQ20" s="8"/>
      <c r="AR20" s="1"/>
    </row>
    <row r="21" spans="1:44" x14ac:dyDescent="0.25">
      <c r="A21" s="1">
        <v>20</v>
      </c>
      <c r="B21" s="1"/>
      <c r="C21" s="1" t="s">
        <v>33</v>
      </c>
      <c r="D21" s="22"/>
      <c r="E21" s="1">
        <v>177</v>
      </c>
      <c r="F21" s="1">
        <v>86</v>
      </c>
      <c r="G21" s="1">
        <v>52.5</v>
      </c>
      <c r="H21" s="24">
        <v>45467.604166666664</v>
      </c>
      <c r="I21" s="24">
        <v>45467.631944444445</v>
      </c>
      <c r="J21" s="1">
        <v>3.27</v>
      </c>
      <c r="K21" s="24">
        <v>45471.715277777781</v>
      </c>
      <c r="L21" s="1">
        <v>200</v>
      </c>
      <c r="M21" s="1">
        <v>56051.027499999997</v>
      </c>
      <c r="N21" s="1">
        <v>14.56</v>
      </c>
      <c r="O21" s="24">
        <v>45467.714039351849</v>
      </c>
      <c r="P21" s="1">
        <v>228.5</v>
      </c>
      <c r="Q21" s="1">
        <v>249211.8</v>
      </c>
      <c r="R21" s="24">
        <v>45469.345937500002</v>
      </c>
      <c r="S21" s="1">
        <v>51</v>
      </c>
      <c r="T21" s="1">
        <v>239076.85</v>
      </c>
      <c r="U21" s="24"/>
      <c r="V21" s="1"/>
      <c r="W21" s="1"/>
      <c r="X21" s="24"/>
      <c r="Y21" s="1"/>
      <c r="Z21" s="1"/>
      <c r="AA21" s="1"/>
      <c r="AB21" s="1"/>
      <c r="AC21" s="1"/>
      <c r="AD21" s="31">
        <v>45467.688194444447</v>
      </c>
      <c r="AE21" s="31">
        <v>45471.750694444447</v>
      </c>
      <c r="AF21" s="1">
        <v>5459.5924999999997</v>
      </c>
      <c r="AG21" s="8">
        <v>45469.331944444442</v>
      </c>
      <c r="AH21" s="8">
        <v>45471.756944444445</v>
      </c>
      <c r="AI21" s="1">
        <v>1616.1025</v>
      </c>
      <c r="AJ21" s="8"/>
      <c r="AK21" s="8"/>
      <c r="AL21" s="1"/>
      <c r="AM21" s="8"/>
      <c r="AN21" s="8"/>
      <c r="AO21" s="1"/>
      <c r="AP21" s="8"/>
      <c r="AQ21" s="8"/>
      <c r="AR21" s="1"/>
    </row>
    <row r="22" spans="1:44" x14ac:dyDescent="0.25">
      <c r="A22" s="5">
        <v>21</v>
      </c>
      <c r="B22" s="33" t="s">
        <v>37</v>
      </c>
      <c r="C22" s="33" t="s">
        <v>34</v>
      </c>
      <c r="D22" s="22"/>
      <c r="E22" s="33">
        <v>170</v>
      </c>
      <c r="F22" s="33">
        <v>100.5</v>
      </c>
      <c r="G22" s="33">
        <v>60.28</v>
      </c>
      <c r="H22" s="24">
        <v>45635.615972222222</v>
      </c>
      <c r="I22" s="24">
        <v>45635.615972222222</v>
      </c>
      <c r="J22" s="1">
        <v>39.6</v>
      </c>
      <c r="K22" s="24">
        <v>45642.416666666664</v>
      </c>
      <c r="L22" s="1">
        <v>200</v>
      </c>
      <c r="M22" s="1">
        <v>190850.66</v>
      </c>
      <c r="N22" s="1">
        <v>44.295000000000002</v>
      </c>
      <c r="O22" s="24">
        <v>45635.688645833332</v>
      </c>
      <c r="P22" s="33">
        <v>350</v>
      </c>
      <c r="Q22" s="33">
        <v>246048.61</v>
      </c>
      <c r="R22" s="24">
        <v>45637.303287037037</v>
      </c>
      <c r="S22" s="33">
        <v>142.80000000000001</v>
      </c>
      <c r="T22" s="33">
        <v>255908.82</v>
      </c>
      <c r="U22" s="24">
        <v>45638.321342592593</v>
      </c>
      <c r="V22" s="33">
        <v>94.7</v>
      </c>
      <c r="W22" s="33">
        <v>281243.12</v>
      </c>
      <c r="X22" s="24"/>
      <c r="Y22" s="1"/>
      <c r="Z22" s="1"/>
      <c r="AA22" s="1"/>
      <c r="AB22" s="1"/>
      <c r="AC22" s="1"/>
      <c r="AD22" s="31">
        <v>45635.677083333336</v>
      </c>
      <c r="AE22" s="31">
        <v>45642.423611111109</v>
      </c>
      <c r="AF22" s="1">
        <v>4102.96</v>
      </c>
      <c r="AG22" s="8">
        <v>45637.340277777781</v>
      </c>
      <c r="AH22" s="8">
        <v>45642.429166666669</v>
      </c>
      <c r="AI22" s="1">
        <v>2946.27</v>
      </c>
      <c r="AJ22" s="8">
        <v>45638.297222222223</v>
      </c>
      <c r="AK22" s="8">
        <v>45642.433333333334</v>
      </c>
      <c r="AL22" s="1">
        <v>2068.15</v>
      </c>
      <c r="AM22" s="8"/>
      <c r="AN22" s="8"/>
      <c r="AO22" s="1"/>
      <c r="AP22" s="8"/>
      <c r="AQ22" s="8"/>
      <c r="AR22" s="1"/>
    </row>
    <row r="23" spans="1:44" x14ac:dyDescent="0.25">
      <c r="A23" s="1">
        <v>22</v>
      </c>
      <c r="B23" s="1"/>
      <c r="C23" s="1" t="s">
        <v>33</v>
      </c>
      <c r="D23" s="22"/>
      <c r="E23" s="1">
        <v>171.5</v>
      </c>
      <c r="F23" s="1">
        <v>59</v>
      </c>
      <c r="G23" s="1">
        <v>59</v>
      </c>
      <c r="H23" s="24">
        <v>45691.630555555559</v>
      </c>
      <c r="I23" s="24">
        <v>45691.652083333334</v>
      </c>
      <c r="J23" s="1">
        <v>10.28</v>
      </c>
      <c r="K23" s="24">
        <v>45694.599305555559</v>
      </c>
      <c r="L23" s="1">
        <v>200</v>
      </c>
      <c r="M23" s="1">
        <v>282091.12</v>
      </c>
      <c r="N23" s="1">
        <v>29.88</v>
      </c>
      <c r="O23" s="24">
        <v>45691.721354166664</v>
      </c>
      <c r="P23" s="1">
        <v>402.7</v>
      </c>
      <c r="Q23" s="1">
        <v>190780.89</v>
      </c>
      <c r="R23" s="24">
        <v>45692.305243055554</v>
      </c>
      <c r="S23" s="1">
        <v>273.2</v>
      </c>
      <c r="T23" s="1">
        <v>200814.87</v>
      </c>
      <c r="U23" s="24">
        <v>45693.29923611111</v>
      </c>
      <c r="V23" s="1">
        <v>187.7</v>
      </c>
      <c r="W23" s="1">
        <v>190503.41</v>
      </c>
      <c r="X23" s="24">
        <v>45694.313055555554</v>
      </c>
      <c r="Y23" s="1">
        <v>147.1</v>
      </c>
      <c r="Z23" s="1">
        <v>185304.85</v>
      </c>
      <c r="AA23" s="1"/>
      <c r="AB23" s="1"/>
      <c r="AC23" s="1"/>
      <c r="AD23" s="31">
        <v>45691.704861111109</v>
      </c>
      <c r="AE23" s="31">
        <v>45694.575694444444</v>
      </c>
      <c r="AF23" s="1">
        <v>8522.61</v>
      </c>
      <c r="AG23" s="8">
        <v>45692.340277777781</v>
      </c>
      <c r="AH23" s="8">
        <v>45694.581250000003</v>
      </c>
      <c r="AI23" s="1">
        <v>5059.8999999999996</v>
      </c>
      <c r="AJ23" s="8">
        <v>45693.347222222219</v>
      </c>
      <c r="AK23" s="8">
        <v>45694.587500000001</v>
      </c>
      <c r="AL23" s="1">
        <v>2015.9825000000001</v>
      </c>
      <c r="AM23" s="8">
        <v>45694.3</v>
      </c>
      <c r="AN23" s="8">
        <v>45694.593055555553</v>
      </c>
      <c r="AO23" s="1">
        <v>1241.82</v>
      </c>
      <c r="AP23" s="8"/>
      <c r="AQ23" s="8"/>
      <c r="AR23" s="1"/>
    </row>
    <row r="24" spans="1:44" x14ac:dyDescent="0.25">
      <c r="A24" s="1">
        <v>23</v>
      </c>
      <c r="B24" s="1" t="s">
        <v>36</v>
      </c>
      <c r="C24" s="1" t="s">
        <v>34</v>
      </c>
      <c r="D24" s="35"/>
      <c r="E24" s="1">
        <v>171</v>
      </c>
      <c r="F24" s="1">
        <v>74.099999999999994</v>
      </c>
      <c r="G24" s="1">
        <v>68.099999999999994</v>
      </c>
      <c r="H24" s="24">
        <v>45691.618055555555</v>
      </c>
      <c r="I24" s="24">
        <v>45691.652083333334</v>
      </c>
      <c r="J24" s="1">
        <v>10.28</v>
      </c>
      <c r="K24" s="24">
        <v>45700.724999999999</v>
      </c>
      <c r="L24" s="1">
        <v>200</v>
      </c>
      <c r="M24" s="1">
        <v>53157.66</v>
      </c>
      <c r="N24" s="1">
        <v>11.6875</v>
      </c>
      <c r="O24" s="24">
        <v>45691.688125000001</v>
      </c>
      <c r="P24" s="1">
        <v>478.9</v>
      </c>
      <c r="Q24" s="1">
        <v>200616.61</v>
      </c>
      <c r="R24" s="24">
        <v>45693.341006944444</v>
      </c>
      <c r="S24" s="1">
        <v>205.1</v>
      </c>
      <c r="T24" s="1">
        <v>211607.26</v>
      </c>
      <c r="U24" s="24">
        <v>45695.3049537037</v>
      </c>
      <c r="V24" s="1">
        <v>137</v>
      </c>
      <c r="W24" s="1">
        <v>208252.01</v>
      </c>
      <c r="X24" s="24"/>
      <c r="Y24" s="1"/>
      <c r="Z24" s="1"/>
      <c r="AA24" s="1"/>
      <c r="AB24" s="1"/>
      <c r="AC24" s="1"/>
      <c r="AD24" s="31">
        <v>45691.673611111109</v>
      </c>
      <c r="AE24" s="31">
        <v>45700.704861111109</v>
      </c>
      <c r="AF24" s="1">
        <v>4960.0450000000001</v>
      </c>
      <c r="AG24" s="8">
        <v>45693.322916666664</v>
      </c>
      <c r="AH24" s="8">
        <v>45700.710416666669</v>
      </c>
      <c r="AI24" s="1">
        <v>735.03750000000002</v>
      </c>
      <c r="AJ24" s="8">
        <v>45695.295138888891</v>
      </c>
      <c r="AK24" s="8">
        <v>45700.716666666667</v>
      </c>
      <c r="AL24" s="1">
        <v>638.84749999999997</v>
      </c>
      <c r="AM24" s="8"/>
      <c r="AN24" s="8"/>
      <c r="AO24" s="1"/>
      <c r="AP24" s="8"/>
      <c r="AQ24" s="8"/>
      <c r="AR24" s="1"/>
    </row>
    <row r="25" spans="1:44" x14ac:dyDescent="0.25">
      <c r="A25" s="1">
        <v>24</v>
      </c>
      <c r="B25" s="1"/>
      <c r="C25" s="1" t="s">
        <v>34</v>
      </c>
      <c r="D25" s="35"/>
      <c r="E25" s="1">
        <v>171</v>
      </c>
      <c r="F25" s="1">
        <v>74.099999999999994</v>
      </c>
      <c r="G25" s="1">
        <v>68.099999999999994</v>
      </c>
      <c r="H25" s="24">
        <v>45691.618055555555</v>
      </c>
      <c r="I25" s="24">
        <v>45691.652083333334</v>
      </c>
      <c r="J25" s="1">
        <v>10.28</v>
      </c>
      <c r="K25" s="24">
        <v>45700.724999999999</v>
      </c>
      <c r="L25" s="1">
        <v>200</v>
      </c>
      <c r="M25" s="1">
        <v>53157.66</v>
      </c>
      <c r="N25" s="1">
        <v>11.6875</v>
      </c>
      <c r="O25" s="24">
        <v>45691.688125000001</v>
      </c>
      <c r="P25" s="1">
        <v>478.9</v>
      </c>
      <c r="Q25" s="1">
        <v>200616.61</v>
      </c>
      <c r="R25" s="24">
        <v>45693.341006944444</v>
      </c>
      <c r="S25" s="1">
        <v>205.1</v>
      </c>
      <c r="T25" s="1">
        <v>211607.26</v>
      </c>
      <c r="U25" s="24">
        <v>45695.3049537037</v>
      </c>
      <c r="V25" s="1">
        <v>137</v>
      </c>
      <c r="W25" s="1">
        <v>208252.01</v>
      </c>
      <c r="X25" s="24"/>
      <c r="Y25" s="1"/>
      <c r="Z25" s="1"/>
      <c r="AA25" s="1"/>
      <c r="AB25" s="1"/>
      <c r="AC25" s="1"/>
      <c r="AD25" s="31">
        <v>45691.673611111109</v>
      </c>
      <c r="AE25" s="31">
        <v>45700.704861111109</v>
      </c>
      <c r="AF25" s="1">
        <v>4960.0450000000001</v>
      </c>
      <c r="AG25" s="8">
        <v>45693.322916666664</v>
      </c>
      <c r="AH25" s="8">
        <v>45700.710416666669</v>
      </c>
      <c r="AI25" s="1">
        <v>735.03750000000002</v>
      </c>
      <c r="AJ25" s="8">
        <v>45695.295138888891</v>
      </c>
      <c r="AK25" s="8">
        <v>45700.716666666667</v>
      </c>
      <c r="AL25" s="1">
        <v>638.84749999999997</v>
      </c>
      <c r="AM25" s="8"/>
      <c r="AN25" s="8"/>
      <c r="AO25" s="1"/>
      <c r="AP25" s="8"/>
      <c r="AQ25" s="8"/>
      <c r="AR25" s="1"/>
    </row>
    <row r="26" spans="1:44" x14ac:dyDescent="0.25">
      <c r="A26" s="1">
        <v>25</v>
      </c>
      <c r="B26" s="1"/>
      <c r="C26" s="1" t="s">
        <v>34</v>
      </c>
      <c r="D26" s="22"/>
      <c r="E26" s="1">
        <v>161</v>
      </c>
      <c r="F26" s="1">
        <v>50</v>
      </c>
      <c r="G26" s="1">
        <v>43.37</v>
      </c>
      <c r="H26" s="24">
        <v>45831.614583333336</v>
      </c>
      <c r="I26" s="24">
        <v>45831.683333333334</v>
      </c>
      <c r="J26" s="1">
        <v>27.58</v>
      </c>
      <c r="K26" s="24">
        <v>45854.583333333336</v>
      </c>
      <c r="L26" s="1">
        <v>200</v>
      </c>
      <c r="M26" s="1">
        <v>7199.05</v>
      </c>
      <c r="N26" s="1">
        <v>2.08</v>
      </c>
      <c r="O26" s="24">
        <v>45831.703310185185</v>
      </c>
      <c r="P26" s="1">
        <v>231.2</v>
      </c>
      <c r="Q26" s="1">
        <v>152390.64000000001</v>
      </c>
      <c r="R26" s="24">
        <v>45833.320439814815</v>
      </c>
      <c r="S26" s="1">
        <v>76.3</v>
      </c>
      <c r="T26" s="1">
        <v>165802.96</v>
      </c>
      <c r="U26" s="24">
        <v>45835.302384259259</v>
      </c>
      <c r="V26" s="1">
        <v>17.3</v>
      </c>
      <c r="W26" s="1">
        <v>151159.98000000001</v>
      </c>
      <c r="X26" s="24"/>
      <c r="Y26" s="1"/>
      <c r="Z26" s="1"/>
      <c r="AA26" s="1"/>
      <c r="AB26" s="1"/>
      <c r="AC26" s="1"/>
      <c r="AD26" s="31">
        <v>45831.738194444442</v>
      </c>
      <c r="AE26" s="31">
        <v>45854.589583333334</v>
      </c>
      <c r="AF26" s="1">
        <v>254.29249999999999</v>
      </c>
      <c r="AG26" s="8">
        <v>45833.357638888891</v>
      </c>
      <c r="AH26" s="8">
        <v>45854.595833333333</v>
      </c>
      <c r="AI26" s="1">
        <v>125.735</v>
      </c>
      <c r="AJ26" s="8">
        <v>45835.336805555555</v>
      </c>
      <c r="AK26" s="8">
        <v>45854.601388888892</v>
      </c>
      <c r="AL26" s="1">
        <v>23.99</v>
      </c>
      <c r="AM26" s="8"/>
      <c r="AN26" s="8"/>
      <c r="AO26" s="1"/>
      <c r="AP26" s="8"/>
      <c r="AQ26" s="8"/>
      <c r="AR26" s="1"/>
    </row>
    <row r="27" spans="1:44" x14ac:dyDescent="0.25">
      <c r="A27" s="5">
        <v>26</v>
      </c>
      <c r="B27" s="1"/>
      <c r="C27" s="1" t="s">
        <v>34</v>
      </c>
      <c r="D27" s="22"/>
      <c r="E27" s="1">
        <v>166</v>
      </c>
      <c r="F27" s="1">
        <v>106.8</v>
      </c>
      <c r="G27" s="1">
        <v>37</v>
      </c>
      <c r="H27" s="24">
        <v>45831.61041666667</v>
      </c>
      <c r="I27" s="24">
        <v>45831.683333333334</v>
      </c>
      <c r="J27" s="1">
        <v>27.58</v>
      </c>
      <c r="K27" s="24">
        <v>45848.729166666664</v>
      </c>
      <c r="L27" s="1">
        <v>200</v>
      </c>
      <c r="M27" s="1">
        <v>19278.400000000001</v>
      </c>
      <c r="N27" s="1">
        <v>6.58</v>
      </c>
      <c r="O27" s="24">
        <v>45831.68105324074</v>
      </c>
      <c r="P27" s="1">
        <v>232.9</v>
      </c>
      <c r="Q27" s="1">
        <v>245711.67</v>
      </c>
      <c r="R27" s="24">
        <v>45833.309201388889</v>
      </c>
      <c r="S27" s="1">
        <v>85.7</v>
      </c>
      <c r="T27" s="1">
        <v>237943</v>
      </c>
      <c r="U27" s="24">
        <v>45835.31858796296</v>
      </c>
      <c r="V27" s="1">
        <v>26.1</v>
      </c>
      <c r="W27" s="1">
        <v>237080.09</v>
      </c>
      <c r="X27" s="24"/>
      <c r="Y27" s="1"/>
      <c r="Z27" s="1"/>
      <c r="AA27" s="1"/>
      <c r="AB27" s="1"/>
      <c r="AC27" s="1"/>
      <c r="AD27" s="31">
        <v>45831.716666666667</v>
      </c>
      <c r="AE27" s="31">
        <v>45848.734722222223</v>
      </c>
      <c r="AF27" s="1">
        <v>455.93</v>
      </c>
      <c r="AG27" s="8">
        <v>45833.349305555559</v>
      </c>
      <c r="AH27" s="8">
        <v>45848.740972222222</v>
      </c>
      <c r="AI27" s="1">
        <v>218.1825</v>
      </c>
      <c r="AJ27" s="8">
        <v>45835.350694444445</v>
      </c>
      <c r="AK27" s="8">
        <v>45848.746527777781</v>
      </c>
      <c r="AL27" s="1">
        <v>87.557500000000005</v>
      </c>
      <c r="AM27" s="8"/>
      <c r="AN27" s="8"/>
      <c r="AO27" s="1"/>
      <c r="AP27" s="8"/>
      <c r="AQ27" s="8"/>
      <c r="AR27" s="1"/>
    </row>
    <row r="28" spans="1:44" x14ac:dyDescent="0.25">
      <c r="A28" s="1"/>
      <c r="B28" s="1"/>
      <c r="C28" s="1"/>
      <c r="D28" s="22"/>
      <c r="E28" s="1"/>
      <c r="F28" s="1"/>
      <c r="G28" s="1"/>
      <c r="H28" s="24"/>
      <c r="I28" s="24"/>
      <c r="J28" s="1"/>
      <c r="K28" s="24"/>
      <c r="L28" s="1"/>
      <c r="M28" s="1"/>
      <c r="N28" s="1"/>
      <c r="O28" s="24"/>
      <c r="P28" s="1"/>
      <c r="Q28" s="1"/>
      <c r="R28" s="24"/>
      <c r="S28" s="1"/>
      <c r="T28" s="1"/>
      <c r="U28" s="24"/>
      <c r="V28" s="1"/>
      <c r="W28" s="1"/>
      <c r="X28" s="24"/>
      <c r="Y28" s="1"/>
      <c r="Z28" s="1"/>
      <c r="AA28" s="1"/>
      <c r="AB28" s="1"/>
      <c r="AC28" s="1"/>
      <c r="AD28" s="31"/>
      <c r="AE28" s="31"/>
      <c r="AF28" s="1"/>
      <c r="AG28" s="8"/>
      <c r="AH28" s="8"/>
      <c r="AI28" s="1"/>
      <c r="AJ28" s="8"/>
      <c r="AK28" s="8"/>
      <c r="AL28" s="1"/>
      <c r="AM28" s="8"/>
      <c r="AN28" s="8"/>
      <c r="AO28" s="1"/>
      <c r="AP28" s="8"/>
      <c r="AQ28" s="8"/>
      <c r="AR28" s="1"/>
    </row>
    <row r="29" spans="1:44" x14ac:dyDescent="0.25">
      <c r="A29" s="1"/>
      <c r="B29" s="1"/>
      <c r="C29" s="1"/>
      <c r="D29" s="22"/>
      <c r="E29" s="1"/>
      <c r="F29" s="1"/>
      <c r="G29" s="1"/>
      <c r="H29" s="24"/>
      <c r="I29" s="24"/>
      <c r="J29" s="1"/>
      <c r="K29" s="24"/>
      <c r="L29" s="1"/>
      <c r="M29" s="1"/>
      <c r="N29" s="1"/>
      <c r="O29" s="24"/>
      <c r="P29" s="1"/>
      <c r="Q29" s="1"/>
      <c r="R29" s="24"/>
      <c r="S29" s="1"/>
      <c r="T29" s="1"/>
      <c r="U29" s="24"/>
      <c r="V29" s="1"/>
      <c r="W29" s="1"/>
      <c r="X29" s="24"/>
      <c r="Y29" s="1"/>
      <c r="Z29" s="1"/>
      <c r="AA29" s="1"/>
      <c r="AB29" s="1"/>
      <c r="AC29" s="1"/>
      <c r="AD29" s="31"/>
      <c r="AE29" s="31"/>
      <c r="AF29" s="1"/>
      <c r="AG29" s="8"/>
      <c r="AH29" s="8"/>
      <c r="AI29" s="1"/>
      <c r="AJ29" s="8"/>
      <c r="AK29" s="8"/>
      <c r="AL29" s="1"/>
      <c r="AM29" s="8"/>
      <c r="AN29" s="8"/>
      <c r="AO29" s="1"/>
      <c r="AP29" s="8"/>
      <c r="AQ29" s="8"/>
      <c r="AR29" s="1"/>
    </row>
    <row r="33" spans="17:17" x14ac:dyDescent="0.25">
      <c r="Q33" t="e">
        <f>#REF!/#REF!</f>
        <v>#REF!</v>
      </c>
    </row>
    <row r="34" spans="17:17" x14ac:dyDescent="0.25">
      <c r="Q34" t="e">
        <f>#REF!/#REF!</f>
        <v>#REF!</v>
      </c>
    </row>
  </sheetData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L9"/>
  <sheetViews>
    <sheetView workbookViewId="0">
      <selection activeCell="D5" sqref="D5"/>
    </sheetView>
  </sheetViews>
  <sheetFormatPr defaultRowHeight="15" x14ac:dyDescent="0.25"/>
  <cols>
    <col min="1" max="1" width="21.7109375" customWidth="1"/>
  </cols>
  <sheetData>
    <row r="5" spans="1:12" x14ac:dyDescent="0.25">
      <c r="A5" s="1">
        <f>3.52*7.32</f>
        <v>25.766400000000001</v>
      </c>
      <c r="B5" s="25" t="e">
        <f>#REF!</f>
        <v>#REF!</v>
      </c>
      <c r="C5" s="2" t="e">
        <f>#REF!</f>
        <v>#REF!</v>
      </c>
      <c r="D5" s="1">
        <v>10.5</v>
      </c>
      <c r="E5" s="2">
        <f>IF(D5 = "", "", 0.001 * 4/3 *3.14159265*(D5/2)^3)</f>
        <v>0.60613103190937512</v>
      </c>
      <c r="F5" s="2">
        <f>IF(A5 = "", "", A5/E5)</f>
        <v>42.50962026945426</v>
      </c>
      <c r="G5" s="1">
        <v>106.5</v>
      </c>
      <c r="H5" s="25" t="e">
        <f>#REF!</f>
        <v>#REF!</v>
      </c>
      <c r="I5" s="2" t="e">
        <f>#REF!</f>
        <v>#REF!</v>
      </c>
      <c r="J5" s="1">
        <f>1.84*11.8</f>
        <v>21.712000000000003</v>
      </c>
      <c r="K5" s="25" t="e">
        <f>#REF!</f>
        <v>#REF!</v>
      </c>
      <c r="L5" s="2" t="e">
        <f>#REF!</f>
        <v>#REF!</v>
      </c>
    </row>
    <row r="9" spans="1:12" x14ac:dyDescent="0.25">
      <c r="A9" t="s">
        <v>35</v>
      </c>
      <c r="B9" s="1">
        <f>1.84*13.2</f>
        <v>24.288</v>
      </c>
      <c r="C9" s="25" t="e">
        <f>#REF!</f>
        <v>#REF!</v>
      </c>
      <c r="D9" s="2" t="e">
        <f>#REF!</f>
        <v>#REF!</v>
      </c>
      <c r="E9" s="1">
        <v>10</v>
      </c>
      <c r="F9" s="2">
        <f>IF(E9 = "", "", 0.001 * 4/3 *3.14159265*(E9/2)^3)</f>
        <v>0.52359877500000007</v>
      </c>
      <c r="G9" s="2">
        <f>IF(B9 = "", "", B9/F9)</f>
        <v>46.386663146795932</v>
      </c>
      <c r="H9" s="1">
        <f>1.99*60.3</f>
        <v>119.997</v>
      </c>
      <c r="I9" s="25" t="e">
        <f>#REF!</f>
        <v>#REF!</v>
      </c>
      <c r="J9" s="2" t="e">
        <f>#REF!</f>
        <v>#REF!</v>
      </c>
      <c r="K9" s="1">
        <f>1.64*27.83</f>
        <v>45.641199999999998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33e7dc86-0134-4a06-8ceb-f41b29084816" xsi:nil="true"/>
    <lcf76f155ced4ddcb4097134ff3c332f xmlns="32ac0d9b-ea56-4b08-a7e4-21cecfc07c0f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D93FEC69790C245859F7F0AC4ADFE3E" ma:contentTypeVersion="16" ma:contentTypeDescription="Create a new document." ma:contentTypeScope="" ma:versionID="fe6740d7e3d9f29ea10e7373fee639ea">
  <xsd:schema xmlns:xsd="http://www.w3.org/2001/XMLSchema" xmlns:xs="http://www.w3.org/2001/XMLSchema" xmlns:p="http://schemas.microsoft.com/office/2006/metadata/properties" xmlns:ns2="32ac0d9b-ea56-4b08-a7e4-21cecfc07c0f" xmlns:ns3="33e7dc86-0134-4a06-8ceb-f41b29084816" targetNamespace="http://schemas.microsoft.com/office/2006/metadata/properties" ma:root="true" ma:fieldsID="54fbcabca3d95f01f3df4c5d9d6600e7" ns2:_="" ns3:_="">
    <xsd:import namespace="32ac0d9b-ea56-4b08-a7e4-21cecfc07c0f"/>
    <xsd:import namespace="33e7dc86-0134-4a06-8ceb-f41b2908481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CR" minOccurs="0"/>
                <xsd:element ref="ns2:MediaServiceLocation" minOccurs="0"/>
                <xsd:element ref="ns2:MediaServiceObjectDetectorVersion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2ac0d9b-ea56-4b08-a7e4-21cecfc07c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498763fd-94b5-4da1-826f-f7dcd53e6d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3e7dc86-0134-4a06-8ceb-f41b29084816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4" nillable="true" ma:displayName="Taxonomy Catch All Column" ma:hidden="true" ma:list="{08423c54-8da7-4c89-9f14-af230a23da27}" ma:internalName="TaxCatchAll" ma:showField="CatchAllData" ma:web="33e7dc86-0134-4a06-8ceb-f41b2908481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3661C634-6B70-4DB8-BAB4-064BB5EDACAC}">
  <ds:schemaRefs>
    <ds:schemaRef ds:uri="http://schemas.microsoft.com/office/2006/metadata/properties"/>
    <ds:schemaRef ds:uri="http://schemas.microsoft.com/office/infopath/2007/PartnerControls"/>
    <ds:schemaRef ds:uri="33e7dc86-0134-4a06-8ceb-f41b29084816"/>
    <ds:schemaRef ds:uri="32ac0d9b-ea56-4b08-a7e4-21cecfc07c0f"/>
  </ds:schemaRefs>
</ds:datastoreItem>
</file>

<file path=customXml/itemProps2.xml><?xml version="1.0" encoding="utf-8"?>
<ds:datastoreItem xmlns:ds="http://schemas.openxmlformats.org/officeDocument/2006/customXml" ds:itemID="{BCE8EC01-1432-4A67-9C13-C34CC33B6B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A2EF66D1-CF7B-4BCE-92AA-346E2CCCB157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2ac0d9b-ea56-4b08-a7e4-21cecfc07c0f"/>
    <ds:schemaRef ds:uri="33e7dc86-0134-4a06-8ceb-f41b2908481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Inputs-new</vt:lpstr>
      <vt:lpstr>Lung Nodule Dosimetry</vt:lpstr>
    </vt:vector>
  </TitlesOfParts>
  <Manager/>
  <Company>Monash Health</Company>
  <LinksUpToDate>false</LinksUpToDate>
  <SharedDoc>false</SharedDoc>
  <HyperlinkBase/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Michael Lawson</dc:creator>
  <cp:keywords/>
  <dc:description/>
  <cp:lastModifiedBy>George Rouvalis</cp:lastModifiedBy>
  <cp:revision/>
  <dcterms:created xsi:type="dcterms:W3CDTF">2020-03-12T00:14:05Z</dcterms:created>
  <dcterms:modified xsi:type="dcterms:W3CDTF">2025-10-17T03:10:09Z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0x0101003D93FEC69790C245859F7F0AC4ADFE3E</vt:lpwstr>
  </property>
  <property fmtid="{D5CDD505-2E9C-101B-9397-08002B2CF9AE}" pid="3" name="MediaServiceImageTags">
    <vt:lpwstr/>
  </property>
</Properties>
</file>