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style14.xml" ContentType="application/vnd.ms-office.chartstyle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olors11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hart5.xml" ContentType="application/vnd.openxmlformats-officedocument.drawingml.chart+xml"/>
  <Override PartName="/xl/charts/colors4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6.xml" ContentType="application/vnd.ms-office.chartstyle+xml"/>
  <Override PartName="/xl/charts/chart6.xml" ContentType="application/vnd.openxmlformats-officedocument.drawingml.chart+xml"/>
  <Override PartName="/xl/charts/colors9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drawings/drawing3.xml" ContentType="application/vnd.openxmlformats-officedocument.drawing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style7.xml" ContentType="application/vnd.ms-office.chartstyle+xml"/>
  <Override PartName="/xl/charts/chart11.xml" ContentType="application/vnd.openxmlformats-officedocument.drawingml.chart+xml"/>
  <Override PartName="/xl/charts/colors10.xml" ContentType="application/vnd.ms-office.chartcolorstyle+xml"/>
  <Override PartName="/xl/charts/style10.xml" ContentType="application/vnd.ms-office.chartstyle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49238\Monash Health\Medical Physics - General\Research\I-124 Pre-therapy Dosimetry Comparison\"/>
    </mc:Choice>
  </mc:AlternateContent>
  <bookViews>
    <workbookView xWindow="-120" yWindow="-120" windowWidth="19320" windowHeight="6855" tabRatio="598"/>
  </bookViews>
  <sheets>
    <sheet name="Inputs-new" sheetId="7" r:id="rId1"/>
    <sheet name="Lung Nodule Dosimetry" sheetId="5" state="hidden" r:id="rId2"/>
    <sheet name="DATA" sheetId="2" r:id="rId3"/>
    <sheet name="Sheet1" sheetId="3" r:id="rId4"/>
    <sheet name="Sheet2" sheetId="4" r:id="rId5"/>
    <sheet name="New Bone Marrow Method" sheetId="9" r:id="rId6"/>
    <sheet name="Graphing" sheetId="8" r:id="rId7"/>
    <sheet name="Graphing (2)" sheetId="10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7" l="1"/>
  <c r="AA26" i="7" l="1"/>
  <c r="Z26" i="7"/>
  <c r="AA8" i="7" l="1"/>
  <c r="Y8" i="7"/>
  <c r="Z8" i="7"/>
  <c r="B4" i="2"/>
  <c r="AA17" i="7"/>
  <c r="J15" i="7"/>
  <c r="I15" i="7"/>
  <c r="B10" i="9"/>
  <c r="DU22" i="7"/>
  <c r="G26" i="7" l="1"/>
  <c r="GK26" i="7" s="1"/>
  <c r="AU11" i="10"/>
  <c r="AT11" i="10"/>
  <c r="AS11" i="10"/>
  <c r="AR11" i="10"/>
  <c r="AQ11" i="10"/>
  <c r="AU6" i="10"/>
  <c r="AT6" i="10"/>
  <c r="AS6" i="10"/>
  <c r="AR6" i="10"/>
  <c r="AQ6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J11" i="10"/>
  <c r="J12" i="10" s="1"/>
  <c r="I11" i="10"/>
  <c r="I12" i="10" s="1"/>
  <c r="H11" i="10"/>
  <c r="H12" i="10" s="1"/>
  <c r="G11" i="10"/>
  <c r="G12" i="10" s="1"/>
  <c r="E11" i="10"/>
  <c r="E12" i="10" s="1"/>
  <c r="D11" i="10"/>
  <c r="D12" i="10" s="1"/>
  <c r="C11" i="10"/>
  <c r="C12" i="10" s="1"/>
  <c r="B11" i="10"/>
  <c r="B12" i="10" s="1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J6" i="10"/>
  <c r="J7" i="10" s="1"/>
  <c r="I6" i="10"/>
  <c r="I7" i="10" s="1"/>
  <c r="H6" i="10"/>
  <c r="H7" i="10" s="1"/>
  <c r="G6" i="10"/>
  <c r="G7" i="10" s="1"/>
  <c r="E6" i="10"/>
  <c r="E7" i="10" s="1"/>
  <c r="D6" i="10"/>
  <c r="D7" i="10" s="1"/>
  <c r="C6" i="10"/>
  <c r="C7" i="10" s="1"/>
  <c r="B6" i="10"/>
  <c r="B7" i="10" s="1"/>
  <c r="G3" i="10"/>
  <c r="F3" i="10"/>
  <c r="E3" i="10"/>
  <c r="D3" i="10"/>
  <c r="B13" i="9"/>
  <c r="B11" i="9"/>
  <c r="F11" i="9"/>
  <c r="GK31" i="7" l="1"/>
  <c r="G27" i="7"/>
  <c r="GX25" i="7" l="1"/>
  <c r="GY25" i="7" s="1"/>
  <c r="IS25" i="7" s="1"/>
  <c r="GX24" i="7"/>
  <c r="HT25" i="7"/>
  <c r="HY25" i="7" s="1"/>
  <c r="HS25" i="7"/>
  <c r="HN25" i="7"/>
  <c r="HI25" i="7"/>
  <c r="HD25" i="7"/>
  <c r="GV25" i="7"/>
  <c r="GK25" i="7"/>
  <c r="EK25" i="7"/>
  <c r="CW25" i="7"/>
  <c r="CR25" i="7"/>
  <c r="CI25" i="7"/>
  <c r="EP25" i="7" s="1"/>
  <c r="CB25" i="7"/>
  <c r="CA25" i="7"/>
  <c r="EO25" i="7" s="1"/>
  <c r="BT25" i="7"/>
  <c r="BU25" i="7" s="1"/>
  <c r="BS25" i="7"/>
  <c r="EN25" i="7" s="1"/>
  <c r="BL25" i="7"/>
  <c r="BK25" i="7"/>
  <c r="BM25" i="7" s="1"/>
  <c r="BD25" i="7"/>
  <c r="BC25" i="7"/>
  <c r="EL25" i="7" s="1"/>
  <c r="AR25" i="7"/>
  <c r="AS25" i="7" s="1"/>
  <c r="CQ25" i="7" s="1"/>
  <c r="AQ25" i="7"/>
  <c r="HO25" i="7" s="1"/>
  <c r="HX25" i="7" s="1"/>
  <c r="AL25" i="7"/>
  <c r="AK25" i="7"/>
  <c r="HJ25" i="7" s="1"/>
  <c r="HW25" i="7" s="1"/>
  <c r="AF25" i="7"/>
  <c r="AE25" i="7"/>
  <c r="CT25" i="7" s="1"/>
  <c r="Z25" i="7"/>
  <c r="Y25" i="7"/>
  <c r="CS25" i="7" s="1"/>
  <c r="T25" i="7"/>
  <c r="S25" i="7"/>
  <c r="G25" i="7"/>
  <c r="CD25" i="7" l="1"/>
  <c r="AM25" i="7"/>
  <c r="CP25" i="7" s="1"/>
  <c r="BW25" i="7"/>
  <c r="EI25" i="7" s="1"/>
  <c r="AA25" i="7"/>
  <c r="J25" i="7" s="1"/>
  <c r="BO25" i="7"/>
  <c r="EH25" i="7" s="1"/>
  <c r="BN25" i="7"/>
  <c r="CU25" i="7"/>
  <c r="I25" i="7"/>
  <c r="BF25" i="7"/>
  <c r="IC25" i="7"/>
  <c r="IH25" i="7" s="1"/>
  <c r="IB25" i="7"/>
  <c r="IG25" i="7" s="1"/>
  <c r="HZ25" i="7"/>
  <c r="GZ25" i="7"/>
  <c r="ID25" i="7"/>
  <c r="II25" i="7" s="1"/>
  <c r="EQ25" i="7" a="1"/>
  <c r="CN25" i="7"/>
  <c r="EM25" i="7"/>
  <c r="BV25" i="7"/>
  <c r="CV25" i="7"/>
  <c r="BE25" i="7"/>
  <c r="BG25" i="7" s="1"/>
  <c r="EG25" i="7" s="1"/>
  <c r="U25" i="7"/>
  <c r="CC25" i="7"/>
  <c r="CE25" i="7" s="1"/>
  <c r="EJ25" i="7" s="1"/>
  <c r="GW25" i="7"/>
  <c r="HU25" i="7" s="1"/>
  <c r="IA25" i="7"/>
  <c r="AG25" i="7"/>
  <c r="CO25" i="7" s="1"/>
  <c r="CX25" i="7" s="1" a="1"/>
  <c r="HE25" i="7"/>
  <c r="HV25" i="7" s="1"/>
  <c r="G24" i="7"/>
  <c r="GK24" i="7" s="1"/>
  <c r="IE25" i="7" l="1"/>
  <c r="IF25" i="7"/>
  <c r="IJ25" i="7" s="1" a="1"/>
  <c r="CX25" i="7"/>
  <c r="CY25" i="7"/>
  <c r="ER25" i="7"/>
  <c r="EQ25" i="7"/>
  <c r="GZ20" i="7"/>
  <c r="GZ21" i="7"/>
  <c r="GZ22" i="7"/>
  <c r="GZ26" i="7"/>
  <c r="GZ27" i="7"/>
  <c r="GZ28" i="7"/>
  <c r="GZ29" i="7"/>
  <c r="GY20" i="7"/>
  <c r="GY21" i="7"/>
  <c r="GY22" i="7"/>
  <c r="GY23" i="7"/>
  <c r="GZ23" i="7" s="1"/>
  <c r="GY24" i="7"/>
  <c r="GY26" i="7"/>
  <c r="GY27" i="7"/>
  <c r="GY28" i="7"/>
  <c r="GY29" i="7"/>
  <c r="GY19" i="7"/>
  <c r="GZ19" i="7" s="1"/>
  <c r="GZ24" i="7" l="1"/>
  <c r="IA24" i="7"/>
  <c r="HZ24" i="7"/>
  <c r="IK25" i="7"/>
  <c r="IJ25" i="7"/>
  <c r="DW25" i="7"/>
  <c r="DV25" i="7"/>
  <c r="DU25" i="7"/>
  <c r="DS25" i="7"/>
  <c r="DQ25" i="7"/>
  <c r="EA25" i="7"/>
  <c r="DT25" i="7"/>
  <c r="DR25" i="7"/>
  <c r="DZ25" i="7"/>
  <c r="DP25" i="7"/>
  <c r="DO25" i="7"/>
  <c r="DN25" i="7"/>
  <c r="DY25" i="7"/>
  <c r="DX25" i="7"/>
  <c r="FS25" i="7"/>
  <c r="FR25" i="7"/>
  <c r="FQ25" i="7"/>
  <c r="FO25" i="7"/>
  <c r="FM25" i="7"/>
  <c r="GB25" i="7"/>
  <c r="FL25" i="7"/>
  <c r="GA25" i="7"/>
  <c r="FP25" i="7"/>
  <c r="FN25" i="7"/>
  <c r="FY25" i="7"/>
  <c r="FX25" i="7"/>
  <c r="FV25" i="7"/>
  <c r="FK25" i="7"/>
  <c r="FZ25" i="7"/>
  <c r="FW25" i="7"/>
  <c r="FU25" i="7"/>
  <c r="FT25" i="7"/>
  <c r="GE25" i="7" s="1"/>
  <c r="GF25" i="7" s="1"/>
  <c r="GG25" i="7" s="1"/>
  <c r="GV23" i="7"/>
  <c r="HZ23" i="7"/>
  <c r="HD23" i="7"/>
  <c r="HI23" i="7"/>
  <c r="HN23" i="7"/>
  <c r="HS23" i="7"/>
  <c r="IA23" i="7"/>
  <c r="GV24" i="7"/>
  <c r="HD24" i="7"/>
  <c r="HI24" i="7"/>
  <c r="HN24" i="7"/>
  <c r="HS24" i="7"/>
  <c r="HT24" i="7"/>
  <c r="HY24" i="7" s="1"/>
  <c r="IB24" i="7"/>
  <c r="IC24" i="7"/>
  <c r="ID24" i="7"/>
  <c r="IS24" i="7"/>
  <c r="GV26" i="7"/>
  <c r="HZ26" i="7"/>
  <c r="HD26" i="7"/>
  <c r="HI26" i="7"/>
  <c r="HN26" i="7"/>
  <c r="HS26" i="7"/>
  <c r="HT26" i="7"/>
  <c r="HY26" i="7" s="1"/>
  <c r="IB26" i="7"/>
  <c r="IC26" i="7"/>
  <c r="ID26" i="7"/>
  <c r="IS26" i="7"/>
  <c r="GV27" i="7"/>
  <c r="HZ27" i="7"/>
  <c r="HD27" i="7"/>
  <c r="HI27" i="7"/>
  <c r="HN27" i="7"/>
  <c r="HS27" i="7"/>
  <c r="HT27" i="7"/>
  <c r="HY27" i="7" s="1"/>
  <c r="IA27" i="7"/>
  <c r="GV28" i="7"/>
  <c r="HZ28" i="7"/>
  <c r="HD28" i="7"/>
  <c r="HI28" i="7"/>
  <c r="HN28" i="7"/>
  <c r="HS28" i="7"/>
  <c r="HT28" i="7"/>
  <c r="HY28" i="7" s="1"/>
  <c r="IB28" i="7"/>
  <c r="IC28" i="7"/>
  <c r="ID28" i="7"/>
  <c r="IS28" i="7"/>
  <c r="GV29" i="7"/>
  <c r="HZ29" i="7"/>
  <c r="HD29" i="7"/>
  <c r="HI29" i="7"/>
  <c r="HN29" i="7"/>
  <c r="HS29" i="7"/>
  <c r="HT29" i="7"/>
  <c r="HY29" i="7" s="1"/>
  <c r="IA29" i="7"/>
  <c r="GK27" i="7"/>
  <c r="GK28" i="7"/>
  <c r="GK29" i="7"/>
  <c r="EK23" i="7"/>
  <c r="EK24" i="7"/>
  <c r="EK26" i="7"/>
  <c r="EK27" i="7"/>
  <c r="EK28" i="7"/>
  <c r="EK29" i="7"/>
  <c r="CR23" i="7"/>
  <c r="CR24" i="7"/>
  <c r="CW24" i="7"/>
  <c r="CR26" i="7"/>
  <c r="CW26" i="7"/>
  <c r="CR27" i="7"/>
  <c r="CW27" i="7"/>
  <c r="CR28" i="7"/>
  <c r="CW28" i="7"/>
  <c r="CR29" i="7"/>
  <c r="CW29" i="7"/>
  <c r="CI24" i="7"/>
  <c r="EP24" i="7" s="1"/>
  <c r="CI26" i="7"/>
  <c r="EP26" i="7" s="1"/>
  <c r="CI27" i="7"/>
  <c r="EP27" i="7" s="1"/>
  <c r="CI28" i="7"/>
  <c r="EP28" i="7" s="1"/>
  <c r="CI29" i="7"/>
  <c r="EP29" i="7" s="1"/>
  <c r="CA23" i="7"/>
  <c r="EO23" i="7" s="1"/>
  <c r="CA24" i="7"/>
  <c r="EO24" i="7" s="1"/>
  <c r="CB24" i="7"/>
  <c r="CC24" i="7" s="1"/>
  <c r="CA26" i="7"/>
  <c r="EO26" i="7" s="1"/>
  <c r="CB26" i="7"/>
  <c r="CC26" i="7" s="1"/>
  <c r="CA27" i="7"/>
  <c r="EO27" i="7" s="1"/>
  <c r="CB27" i="7"/>
  <c r="CC27" i="7" s="1"/>
  <c r="CA28" i="7"/>
  <c r="EO28" i="7" s="1"/>
  <c r="CB28" i="7"/>
  <c r="CC28" i="7" s="1"/>
  <c r="CA29" i="7"/>
  <c r="EO29" i="7" s="1"/>
  <c r="CB29" i="7"/>
  <c r="CC29" i="7" s="1"/>
  <c r="BS23" i="7"/>
  <c r="EN23" i="7" s="1"/>
  <c r="BS24" i="7"/>
  <c r="EN24" i="7" s="1"/>
  <c r="BT24" i="7"/>
  <c r="BS26" i="7"/>
  <c r="EN26" i="7" s="1"/>
  <c r="BT26" i="7"/>
  <c r="BS27" i="7"/>
  <c r="EN27" i="7" s="1"/>
  <c r="BT27" i="7"/>
  <c r="BU27" i="7" s="1"/>
  <c r="BS28" i="7"/>
  <c r="EN28" i="7" s="1"/>
  <c r="BT28" i="7"/>
  <c r="BS29" i="7"/>
  <c r="EN29" i="7" s="1"/>
  <c r="BT29" i="7"/>
  <c r="BU29" i="7" s="1"/>
  <c r="BK23" i="7"/>
  <c r="EM23" i="7" s="1"/>
  <c r="BK24" i="7"/>
  <c r="EM24" i="7" s="1"/>
  <c r="BL24" i="7"/>
  <c r="BM24" i="7" s="1"/>
  <c r="BK26" i="7"/>
  <c r="EM26" i="7" s="1"/>
  <c r="BL26" i="7"/>
  <c r="BK27" i="7"/>
  <c r="EM27" i="7" s="1"/>
  <c r="BL27" i="7"/>
  <c r="BK28" i="7"/>
  <c r="EM28" i="7" s="1"/>
  <c r="BL28" i="7"/>
  <c r="BM28" i="7"/>
  <c r="BK29" i="7"/>
  <c r="EM29" i="7" s="1"/>
  <c r="BL29" i="7"/>
  <c r="BM29" i="7" s="1"/>
  <c r="BC23" i="7"/>
  <c r="EL23" i="7" s="1"/>
  <c r="BC24" i="7"/>
  <c r="EL24" i="7" s="1"/>
  <c r="BD24" i="7"/>
  <c r="BC26" i="7"/>
  <c r="EL26" i="7" s="1"/>
  <c r="BD26" i="7"/>
  <c r="BC27" i="7"/>
  <c r="EL27" i="7" s="1"/>
  <c r="BD27" i="7"/>
  <c r="BC28" i="7"/>
  <c r="EL28" i="7" s="1"/>
  <c r="EQ28" i="7" s="1" a="1"/>
  <c r="EQ28" i="7" s="1"/>
  <c r="BD28" i="7"/>
  <c r="BE28" i="7" s="1"/>
  <c r="BC29" i="7"/>
  <c r="EL29" i="7" s="1"/>
  <c r="EQ29" i="7" s="1" a="1"/>
  <c r="BD29" i="7"/>
  <c r="BE29" i="7" s="1"/>
  <c r="AQ23" i="7"/>
  <c r="CV23" i="7" s="1"/>
  <c r="AR23" i="7"/>
  <c r="AQ24" i="7"/>
  <c r="HO24" i="7" s="1"/>
  <c r="HX24" i="7" s="1"/>
  <c r="AR24" i="7"/>
  <c r="AS24" i="7" s="1"/>
  <c r="CQ24" i="7" s="1"/>
  <c r="AQ26" i="7"/>
  <c r="HO26" i="7" s="1"/>
  <c r="HX26" i="7" s="1"/>
  <c r="AR26" i="7"/>
  <c r="AS26" i="7" s="1"/>
  <c r="CQ26" i="7" s="1"/>
  <c r="AQ27" i="7"/>
  <c r="CV27" i="7" s="1"/>
  <c r="AR27" i="7"/>
  <c r="AS27" i="7" s="1"/>
  <c r="CQ27" i="7" s="1"/>
  <c r="AQ28" i="7"/>
  <c r="HO28" i="7" s="1"/>
  <c r="HX28" i="7" s="1"/>
  <c r="AR28" i="7"/>
  <c r="AS28" i="7" s="1"/>
  <c r="CQ28" i="7" s="1"/>
  <c r="AQ29" i="7"/>
  <c r="HO29" i="7" s="1"/>
  <c r="HX29" i="7" s="1"/>
  <c r="AR29" i="7"/>
  <c r="AS29" i="7"/>
  <c r="CQ29" i="7" s="1"/>
  <c r="AK23" i="7"/>
  <c r="HJ23" i="7" s="1"/>
  <c r="HW23" i="7" s="1"/>
  <c r="AL23" i="7"/>
  <c r="AK24" i="7"/>
  <c r="CU24" i="7" s="1"/>
  <c r="AL24" i="7"/>
  <c r="AM24" i="7" s="1"/>
  <c r="CP24" i="7" s="1"/>
  <c r="AK26" i="7"/>
  <c r="CU26" i="7" s="1"/>
  <c r="AL26" i="7"/>
  <c r="AM26" i="7" s="1"/>
  <c r="CP26" i="7" s="1"/>
  <c r="AK27" i="7"/>
  <c r="HJ27" i="7" s="1"/>
  <c r="HW27" i="7" s="1"/>
  <c r="AL27" i="7"/>
  <c r="AM27" i="7" s="1"/>
  <c r="CP27" i="7" s="1"/>
  <c r="AK28" i="7"/>
  <c r="CU28" i="7" s="1"/>
  <c r="AL28" i="7"/>
  <c r="AM28" i="7" s="1"/>
  <c r="CP28" i="7" s="1"/>
  <c r="AK29" i="7"/>
  <c r="HJ29" i="7" s="1"/>
  <c r="HW29" i="7" s="1"/>
  <c r="AL29" i="7"/>
  <c r="AM29" i="7" s="1"/>
  <c r="CP29" i="7" s="1"/>
  <c r="AE24" i="7"/>
  <c r="HE24" i="7" s="1"/>
  <c r="HV24" i="7" s="1"/>
  <c r="AF24" i="7"/>
  <c r="AE26" i="7"/>
  <c r="CT26" i="7" s="1"/>
  <c r="AF26" i="7"/>
  <c r="AG26" i="7" s="1"/>
  <c r="CO26" i="7" s="1"/>
  <c r="AE27" i="7"/>
  <c r="CT27" i="7" s="1"/>
  <c r="AF27" i="7"/>
  <c r="AE28" i="7"/>
  <c r="HE28" i="7" s="1"/>
  <c r="HV28" i="7" s="1"/>
  <c r="IJ28" i="7" s="1" a="1"/>
  <c r="AF28" i="7"/>
  <c r="AG28" i="7" s="1"/>
  <c r="CO28" i="7" s="1"/>
  <c r="AE29" i="7"/>
  <c r="CT29" i="7" s="1"/>
  <c r="AF29" i="7"/>
  <c r="AG29" i="7" s="1"/>
  <c r="CO29" i="7" s="1"/>
  <c r="Y24" i="7"/>
  <c r="Z24" i="7"/>
  <c r="Y26" i="7"/>
  <c r="Y27" i="7"/>
  <c r="AA27" i="7"/>
  <c r="J27" i="7" s="1"/>
  <c r="Y28" i="7"/>
  <c r="GW28" i="7" s="1"/>
  <c r="HU28" i="7" s="1"/>
  <c r="Z28" i="7"/>
  <c r="Y29" i="7"/>
  <c r="GW29" i="7" s="1"/>
  <c r="HU29" i="7" s="1"/>
  <c r="Z29" i="7"/>
  <c r="I29" i="7" s="1"/>
  <c r="AA29" i="7"/>
  <c r="S23" i="7"/>
  <c r="S24" i="7"/>
  <c r="S26" i="7"/>
  <c r="S27" i="7"/>
  <c r="S28" i="7"/>
  <c r="S29" i="7"/>
  <c r="Y23" i="7"/>
  <c r="CS23" i="7" s="1"/>
  <c r="AE23" i="7"/>
  <c r="CT23" i="7" s="1"/>
  <c r="AW23" i="7"/>
  <c r="CW23" i="7" s="1"/>
  <c r="CI23" i="7"/>
  <c r="EP23" i="7" s="1"/>
  <c r="G23" i="7"/>
  <c r="GK23" i="7" s="1"/>
  <c r="AG24" i="7" l="1"/>
  <c r="BU26" i="7"/>
  <c r="BM27" i="7"/>
  <c r="BU24" i="7"/>
  <c r="BE27" i="7"/>
  <c r="HJ28" i="7"/>
  <c r="HW28" i="7" s="1"/>
  <c r="AA28" i="7"/>
  <c r="I28" i="7"/>
  <c r="J26" i="7"/>
  <c r="BE26" i="7"/>
  <c r="BE24" i="7"/>
  <c r="CV28" i="7"/>
  <c r="CT28" i="7"/>
  <c r="CS28" i="7"/>
  <c r="CX28" i="7" s="1" a="1"/>
  <c r="CX28" i="7" s="1"/>
  <c r="IO25" i="7"/>
  <c r="IP25" i="7" s="1"/>
  <c r="IL25" i="7"/>
  <c r="IM25" i="7" s="1"/>
  <c r="IN25" i="7" s="1"/>
  <c r="IQ25" i="7" s="1"/>
  <c r="CN29" i="7"/>
  <c r="J29" i="7"/>
  <c r="IF24" i="7"/>
  <c r="AG27" i="7"/>
  <c r="CO27" i="7" s="1"/>
  <c r="CU27" i="7"/>
  <c r="GW27" i="7"/>
  <c r="HU27" i="7" s="1"/>
  <c r="I27" i="7"/>
  <c r="CS27" i="7"/>
  <c r="CN27" i="7"/>
  <c r="HJ26" i="7"/>
  <c r="HW26" i="7" s="1"/>
  <c r="GW26" i="7"/>
  <c r="HU26" i="7" s="1"/>
  <c r="I26" i="7"/>
  <c r="GC25" i="7" a="1"/>
  <c r="ED25" i="7"/>
  <c r="EE25" i="7" s="1"/>
  <c r="GI25" i="7"/>
  <c r="GO25" i="7" s="1"/>
  <c r="GP25" i="7" s="1"/>
  <c r="EB25" i="7" a="1"/>
  <c r="GW24" i="7"/>
  <c r="HU24" i="7" s="1"/>
  <c r="IE24" i="7" s="1"/>
  <c r="AA24" i="7"/>
  <c r="ER29" i="7"/>
  <c r="GA29" i="7" s="1"/>
  <c r="EQ29" i="7"/>
  <c r="FK29" i="7" s="1"/>
  <c r="GC29" i="7" s="1" a="1"/>
  <c r="CY28" i="7"/>
  <c r="CU23" i="7"/>
  <c r="BU28" i="7"/>
  <c r="HE29" i="7"/>
  <c r="HV29" i="7" s="1"/>
  <c r="IJ29" i="7" s="1" a="1"/>
  <c r="IK29" i="7" s="1"/>
  <c r="HE27" i="7"/>
  <c r="HV27" i="7" s="1"/>
  <c r="HE26" i="7"/>
  <c r="HV26" i="7" s="1"/>
  <c r="GW23" i="7"/>
  <c r="HU23" i="7" s="1"/>
  <c r="IE23" i="7" s="1"/>
  <c r="HT23" i="7"/>
  <c r="HY23" i="7" s="1"/>
  <c r="HO23" i="7"/>
  <c r="HX23" i="7" s="1"/>
  <c r="CV29" i="7"/>
  <c r="CU29" i="7"/>
  <c r="CS26" i="7"/>
  <c r="CV26" i="7"/>
  <c r="CS29" i="7"/>
  <c r="CX29" i="7" s="1" a="1"/>
  <c r="HO27" i="7"/>
  <c r="HX27" i="7" s="1"/>
  <c r="HE23" i="7"/>
  <c r="HV23" i="7" s="1"/>
  <c r="BM26" i="7"/>
  <c r="HJ24" i="7"/>
  <c r="HW24" i="7" s="1"/>
  <c r="CO24" i="7"/>
  <c r="CV24" i="7"/>
  <c r="CT24" i="7"/>
  <c r="CS24" i="7"/>
  <c r="IK28" i="7"/>
  <c r="IJ28" i="7"/>
  <c r="IA28" i="7"/>
  <c r="IA26" i="7"/>
  <c r="ID27" i="7"/>
  <c r="IS23" i="7"/>
  <c r="IC29" i="7"/>
  <c r="IC27" i="7"/>
  <c r="IC23" i="7"/>
  <c r="IS29" i="7"/>
  <c r="ID29" i="7"/>
  <c r="IS27" i="7"/>
  <c r="ID23" i="7"/>
  <c r="IB29" i="7"/>
  <c r="IB27" i="7"/>
  <c r="IB23" i="7"/>
  <c r="FL29" i="7"/>
  <c r="GB29" i="7"/>
  <c r="FX29" i="7"/>
  <c r="FP29" i="7"/>
  <c r="FQ29" i="7"/>
  <c r="FW29" i="7"/>
  <c r="FO29" i="7"/>
  <c r="FS29" i="7"/>
  <c r="ER28" i="7"/>
  <c r="AF23" i="7"/>
  <c r="Z23" i="7"/>
  <c r="CN26" i="7" l="1"/>
  <c r="CX26" i="7" a="1"/>
  <c r="CY26" i="7" s="1"/>
  <c r="FM29" i="7"/>
  <c r="FZ29" i="7"/>
  <c r="IR25" i="7"/>
  <c r="IT25" i="7" s="1"/>
  <c r="IU25" i="7" s="1"/>
  <c r="IV25" i="7" s="1"/>
  <c r="IJ29" i="7"/>
  <c r="FV29" i="7"/>
  <c r="IJ26" i="7" a="1"/>
  <c r="IK26" i="7" s="1"/>
  <c r="IL26" i="7" s="1"/>
  <c r="IM26" i="7" s="1"/>
  <c r="FU29" i="7"/>
  <c r="FR29" i="7"/>
  <c r="CX27" i="7" a="1"/>
  <c r="CX27" i="7" s="1"/>
  <c r="FN29" i="7"/>
  <c r="FY29" i="7"/>
  <c r="IJ24" i="7" a="1"/>
  <c r="IJ27" i="7" a="1"/>
  <c r="IJ27" i="7" s="1"/>
  <c r="CN28" i="7"/>
  <c r="J28" i="7"/>
  <c r="DZ28" i="7" s="1"/>
  <c r="FT29" i="7"/>
  <c r="GE29" i="7" s="1"/>
  <c r="GF29" i="7" s="1"/>
  <c r="IG24" i="7"/>
  <c r="GD25" i="7"/>
  <c r="GH25" i="7" s="1"/>
  <c r="GC25" i="7"/>
  <c r="EC25" i="7"/>
  <c r="EF25" i="7" s="1"/>
  <c r="EB25" i="7"/>
  <c r="CY29" i="7"/>
  <c r="CX29" i="7"/>
  <c r="CN24" i="7"/>
  <c r="J24" i="7"/>
  <c r="X34" i="7"/>
  <c r="CX24" i="7" a="1"/>
  <c r="CX24" i="7" s="1"/>
  <c r="IO26" i="7"/>
  <c r="IP26" i="7" s="1"/>
  <c r="IO29" i="7"/>
  <c r="IP29" i="7" s="1"/>
  <c r="IL29" i="7"/>
  <c r="IM29" i="7" s="1"/>
  <c r="IL28" i="7"/>
  <c r="IM28" i="7" s="1"/>
  <c r="IO28" i="7"/>
  <c r="IP28" i="7" s="1"/>
  <c r="GD29" i="7"/>
  <c r="GC29" i="7"/>
  <c r="FP28" i="7"/>
  <c r="FQ28" i="7"/>
  <c r="FS28" i="7"/>
  <c r="FN28" i="7"/>
  <c r="FR28" i="7"/>
  <c r="FU28" i="7"/>
  <c r="FV28" i="7"/>
  <c r="FO28" i="7"/>
  <c r="FW28" i="7"/>
  <c r="FT28" i="7"/>
  <c r="GB28" i="7"/>
  <c r="FX28" i="7"/>
  <c r="FL28" i="7"/>
  <c r="FM28" i="7"/>
  <c r="FY28" i="7"/>
  <c r="FZ28" i="7"/>
  <c r="FK28" i="7"/>
  <c r="GC28" i="7" s="1" a="1"/>
  <c r="GA28" i="7"/>
  <c r="B14" i="9"/>
  <c r="B21" i="9"/>
  <c r="B20" i="9"/>
  <c r="B19" i="9"/>
  <c r="B18" i="9"/>
  <c r="B17" i="9"/>
  <c r="B15" i="9"/>
  <c r="B12" i="9" s="1"/>
  <c r="CX26" i="7" l="1"/>
  <c r="EA26" i="7" s="1"/>
  <c r="DO28" i="7"/>
  <c r="DY28" i="7"/>
  <c r="DN28" i="7"/>
  <c r="EB28" i="7" s="1" a="1"/>
  <c r="EC28" i="7" s="1"/>
  <c r="EF28" i="7" s="1"/>
  <c r="CY27" i="7"/>
  <c r="DR27" i="7" s="1"/>
  <c r="IJ26" i="7"/>
  <c r="DQ28" i="7"/>
  <c r="DP28" i="7"/>
  <c r="IK27" i="7"/>
  <c r="DR28" i="7"/>
  <c r="DW28" i="7"/>
  <c r="ED28" i="7" s="1"/>
  <c r="EE28" i="7" s="1"/>
  <c r="DU28" i="7"/>
  <c r="IK24" i="7"/>
  <c r="IO24" i="7" s="1"/>
  <c r="IJ24" i="7"/>
  <c r="IL24" i="7" s="1"/>
  <c r="IM24" i="7" s="1"/>
  <c r="DV28" i="7"/>
  <c r="DX28" i="7"/>
  <c r="DT28" i="7"/>
  <c r="EA28" i="7"/>
  <c r="DS28" i="7"/>
  <c r="EA27" i="7"/>
  <c r="DY27" i="7"/>
  <c r="DS27" i="7"/>
  <c r="DQ27" i="7"/>
  <c r="DP27" i="7"/>
  <c r="DX27" i="7"/>
  <c r="DW27" i="7"/>
  <c r="DT27" i="7"/>
  <c r="DZ27" i="7"/>
  <c r="DV27" i="7"/>
  <c r="DU27" i="7"/>
  <c r="GL25" i="7"/>
  <c r="GM25" i="7" s="1"/>
  <c r="GQ25" i="7" s="1"/>
  <c r="GR25" i="7" s="1"/>
  <c r="DQ29" i="7"/>
  <c r="DO29" i="7"/>
  <c r="DX29" i="7"/>
  <c r="DP29" i="7"/>
  <c r="DT29" i="7"/>
  <c r="DW29" i="7"/>
  <c r="DU29" i="7"/>
  <c r="DV29" i="7"/>
  <c r="DN29" i="7"/>
  <c r="EB29" i="7" s="1" a="1"/>
  <c r="DZ29" i="7"/>
  <c r="DY29" i="7"/>
  <c r="DR29" i="7"/>
  <c r="EA29" i="7"/>
  <c r="DS29" i="7"/>
  <c r="DO26" i="7"/>
  <c r="DS26" i="7"/>
  <c r="DQ26" i="7"/>
  <c r="DR26" i="7"/>
  <c r="GE28" i="7"/>
  <c r="GF28" i="7" s="1"/>
  <c r="CY24" i="7"/>
  <c r="EA24" i="7" s="1"/>
  <c r="DZ24" i="7"/>
  <c r="DU24" i="7"/>
  <c r="GD28" i="7"/>
  <c r="GC28" i="7"/>
  <c r="DX26" i="7" l="1"/>
  <c r="DV26" i="7"/>
  <c r="EB28" i="7"/>
  <c r="DY26" i="7"/>
  <c r="DP26" i="7"/>
  <c r="DT26" i="7"/>
  <c r="DU26" i="7"/>
  <c r="DZ26" i="7"/>
  <c r="EB26" i="7" s="1" a="1"/>
  <c r="EB26" i="7" s="1"/>
  <c r="DN24" i="7"/>
  <c r="DW26" i="7"/>
  <c r="DY24" i="7"/>
  <c r="DN26" i="7"/>
  <c r="Z6" i="8" s="1"/>
  <c r="DT24" i="7"/>
  <c r="DR24" i="7"/>
  <c r="DN27" i="7"/>
  <c r="ED27" i="7" s="1"/>
  <c r="EE27" i="7" s="1"/>
  <c r="DO27" i="7"/>
  <c r="DV24" i="7"/>
  <c r="DW24" i="7"/>
  <c r="IL27" i="7"/>
  <c r="IM27" i="7" s="1"/>
  <c r="IO27" i="7"/>
  <c r="IP27" i="7" s="1"/>
  <c r="EB29" i="7"/>
  <c r="EC29" i="7"/>
  <c r="ED29" i="7"/>
  <c r="EE29" i="7" s="1"/>
  <c r="DQ24" i="7"/>
  <c r="DX24" i="7"/>
  <c r="DS24" i="7"/>
  <c r="DP24" i="7"/>
  <c r="DO24" i="7"/>
  <c r="GV22" i="7"/>
  <c r="IA22" i="7"/>
  <c r="HD22" i="7"/>
  <c r="HI22" i="7"/>
  <c r="HN22" i="7"/>
  <c r="HS22" i="7"/>
  <c r="IC22" i="7"/>
  <c r="ID22" i="7"/>
  <c r="IS22" i="7"/>
  <c r="BC22" i="7"/>
  <c r="EL22" i="7" s="1"/>
  <c r="BK22" i="7"/>
  <c r="EM22" i="7" s="1"/>
  <c r="BS22" i="7"/>
  <c r="EN22" i="7" s="1"/>
  <c r="CA22" i="7"/>
  <c r="EO22" i="7" s="1"/>
  <c r="CB22" i="7"/>
  <c r="CC22" i="7" s="1"/>
  <c r="CI22" i="7"/>
  <c r="EP22" i="7" s="1"/>
  <c r="CJ22" i="7"/>
  <c r="CK22" i="7" s="1"/>
  <c r="AQ22" i="7"/>
  <c r="CV22" i="7" s="1"/>
  <c r="AR22" i="7"/>
  <c r="AS22" i="7" s="1"/>
  <c r="CQ22" i="7" s="1"/>
  <c r="AW22" i="7"/>
  <c r="CW22" i="7" s="1"/>
  <c r="AX22" i="7"/>
  <c r="AY22" i="7" s="1"/>
  <c r="CR22" i="7" s="1"/>
  <c r="AK22" i="7"/>
  <c r="CU22" i="7" s="1"/>
  <c r="AL22" i="7"/>
  <c r="S22" i="7"/>
  <c r="AF22" i="7"/>
  <c r="AE22" i="7"/>
  <c r="CT22" i="7" s="1"/>
  <c r="Z22" i="7"/>
  <c r="Y22" i="7"/>
  <c r="GW22" i="7" s="1"/>
  <c r="HU22" i="7" s="1"/>
  <c r="G22" i="7"/>
  <c r="GK22" i="7" s="1"/>
  <c r="ED26" i="7" l="1"/>
  <c r="EE26" i="7" s="1"/>
  <c r="EB27" i="7" a="1"/>
  <c r="EC27" i="7" s="1"/>
  <c r="EF27" i="7" s="1"/>
  <c r="ED24" i="7"/>
  <c r="EE24" i="7" s="1"/>
  <c r="EB24" i="7" a="1"/>
  <c r="EC24" i="7" s="1"/>
  <c r="EF24" i="7" s="1"/>
  <c r="HO22" i="7"/>
  <c r="HX22" i="7" s="1"/>
  <c r="HJ22" i="7"/>
  <c r="HW22" i="7" s="1"/>
  <c r="EC26" i="7"/>
  <c r="EF26" i="7" s="1"/>
  <c r="HE22" i="7"/>
  <c r="HV22" i="7" s="1"/>
  <c r="CS22" i="7"/>
  <c r="EF29" i="7"/>
  <c r="HT22" i="7"/>
  <c r="HY22" i="7" s="1"/>
  <c r="IJ22" i="7" a="1"/>
  <c r="IK22" i="7" s="1"/>
  <c r="HZ22" i="7"/>
  <c r="IB22" i="7"/>
  <c r="EB27" i="7" l="1"/>
  <c r="EB24" i="7"/>
  <c r="IJ22" i="7"/>
  <c r="IL22" i="7"/>
  <c r="IM22" i="7" s="1"/>
  <c r="IO22" i="7"/>
  <c r="GY9" i="7" l="1"/>
  <c r="GZ9" i="7" s="1"/>
  <c r="GY10" i="7"/>
  <c r="GZ10" i="7" s="1"/>
  <c r="GY11" i="7"/>
  <c r="HZ11" i="7" s="1"/>
  <c r="GZ11" i="7"/>
  <c r="GY12" i="7"/>
  <c r="IC12" i="7" s="1"/>
  <c r="GZ12" i="7"/>
  <c r="GY13" i="7"/>
  <c r="HZ13" i="7" s="1"/>
  <c r="GZ13" i="7"/>
  <c r="GY14" i="7"/>
  <c r="IA14" i="7" s="1"/>
  <c r="GZ14" i="7"/>
  <c r="GY15" i="7"/>
  <c r="IS15" i="7" s="1"/>
  <c r="GZ15" i="7"/>
  <c r="GY16" i="7"/>
  <c r="IA16" i="7" s="1"/>
  <c r="GZ16" i="7"/>
  <c r="GY17" i="7"/>
  <c r="IB17" i="7" s="1"/>
  <c r="GZ17" i="7"/>
  <c r="GY18" i="7"/>
  <c r="IA18" i="7" s="1"/>
  <c r="GZ18" i="7"/>
  <c r="IB21" i="7"/>
  <c r="IA11" i="7"/>
  <c r="IB11" i="7"/>
  <c r="IC11" i="7"/>
  <c r="ID11" i="7"/>
  <c r="IS11" i="7"/>
  <c r="HZ12" i="7"/>
  <c r="IA12" i="7"/>
  <c r="IB12" i="7"/>
  <c r="HZ18" i="7"/>
  <c r="HZ19" i="7"/>
  <c r="IA19" i="7"/>
  <c r="IB19" i="7"/>
  <c r="IC19" i="7"/>
  <c r="ID19" i="7"/>
  <c r="IS19" i="7"/>
  <c r="HZ20" i="7"/>
  <c r="IA20" i="7"/>
  <c r="IB20" i="7"/>
  <c r="IC20" i="7"/>
  <c r="ID20" i="7"/>
  <c r="IS20" i="7"/>
  <c r="IC21" i="7"/>
  <c r="ID21" i="7"/>
  <c r="IS21" i="7"/>
  <c r="HS10" i="7"/>
  <c r="HS11" i="7"/>
  <c r="HS12" i="7"/>
  <c r="HS13" i="7"/>
  <c r="HS14" i="7"/>
  <c r="HS15" i="7"/>
  <c r="HS16" i="7"/>
  <c r="HS17" i="7"/>
  <c r="HS18" i="7"/>
  <c r="HS19" i="7"/>
  <c r="HS20" i="7"/>
  <c r="HS21" i="7"/>
  <c r="HN10" i="7"/>
  <c r="HN11" i="7"/>
  <c r="HN12" i="7"/>
  <c r="HN13" i="7"/>
  <c r="HN14" i="7"/>
  <c r="HN15" i="7"/>
  <c r="HN16" i="7"/>
  <c r="HN17" i="7"/>
  <c r="HN18" i="7"/>
  <c r="HN19" i="7"/>
  <c r="HN20" i="7"/>
  <c r="HN21" i="7"/>
  <c r="HI9" i="7"/>
  <c r="HI10" i="7"/>
  <c r="HI11" i="7"/>
  <c r="HI12" i="7"/>
  <c r="HI13" i="7"/>
  <c r="HI14" i="7"/>
  <c r="HI15" i="7"/>
  <c r="HI16" i="7"/>
  <c r="HI17" i="7"/>
  <c r="HI18" i="7"/>
  <c r="HI19" i="7"/>
  <c r="HI20" i="7"/>
  <c r="HI21" i="7"/>
  <c r="HD18" i="7"/>
  <c r="HD19" i="7"/>
  <c r="HD20" i="7"/>
  <c r="HD21" i="7"/>
  <c r="IS16" i="7" l="1"/>
  <c r="IB15" i="7"/>
  <c r="HZ14" i="7"/>
  <c r="ID13" i="7"/>
  <c r="IS12" i="7"/>
  <c r="ID12" i="7"/>
  <c r="IC15" i="7"/>
  <c r="IB10" i="7"/>
  <c r="HZ10" i="7"/>
  <c r="IA10" i="7"/>
  <c r="IA15" i="7"/>
  <c r="HZ15" i="7"/>
  <c r="IS18" i="7"/>
  <c r="ID18" i="7"/>
  <c r="ID10" i="7"/>
  <c r="ID15" i="7"/>
  <c r="IC10" i="7"/>
  <c r="ID16" i="7"/>
  <c r="IC16" i="7"/>
  <c r="IB16" i="7"/>
  <c r="IS13" i="7"/>
  <c r="IC17" i="7"/>
  <c r="HZ16" i="7"/>
  <c r="IA17" i="7"/>
  <c r="IS14" i="7"/>
  <c r="IC13" i="7"/>
  <c r="IA21" i="7"/>
  <c r="IC18" i="7"/>
  <c r="IB13" i="7"/>
  <c r="HZ21" i="7"/>
  <c r="IB18" i="7"/>
  <c r="ID14" i="7"/>
  <c r="IA13" i="7"/>
  <c r="IS10" i="7"/>
  <c r="ID17" i="7"/>
  <c r="HZ17" i="7"/>
  <c r="IC14" i="7"/>
  <c r="IS17" i="7"/>
  <c r="IB14" i="7"/>
  <c r="GV18" i="7" l="1"/>
  <c r="G20" i="7" l="1"/>
  <c r="GK20" i="7" s="1"/>
  <c r="G21" i="7"/>
  <c r="GK21" i="7" s="1"/>
  <c r="S19" i="7"/>
  <c r="Y19" i="7"/>
  <c r="GW19" i="7" s="1"/>
  <c r="HU19" i="7" s="1"/>
  <c r="Z19" i="7"/>
  <c r="AE19" i="7"/>
  <c r="AF19" i="7"/>
  <c r="AK19" i="7"/>
  <c r="AL19" i="7"/>
  <c r="AQ19" i="7"/>
  <c r="AR19" i="7"/>
  <c r="AW19" i="7"/>
  <c r="AX19" i="7"/>
  <c r="AY19" i="7" s="1"/>
  <c r="CR19" i="7" s="1"/>
  <c r="BC19" i="7"/>
  <c r="BK19" i="7"/>
  <c r="BS19" i="7"/>
  <c r="CA19" i="7"/>
  <c r="CI19" i="7"/>
  <c r="EP19" i="7" s="1"/>
  <c r="CJ19" i="7"/>
  <c r="CK19" i="7" s="1"/>
  <c r="GV19" i="7"/>
  <c r="S20" i="7"/>
  <c r="Y20" i="7"/>
  <c r="GW20" i="7" s="1"/>
  <c r="HU20" i="7" s="1"/>
  <c r="Z20" i="7"/>
  <c r="AE20" i="7"/>
  <c r="AF20" i="7"/>
  <c r="AK20" i="7"/>
  <c r="AL20" i="7"/>
  <c r="AQ20" i="7"/>
  <c r="AR20" i="7"/>
  <c r="AS20" i="7" s="1"/>
  <c r="CQ20" i="7" s="1"/>
  <c r="AW20" i="7"/>
  <c r="AX20" i="7"/>
  <c r="AY20" i="7" s="1"/>
  <c r="CR20" i="7" s="1"/>
  <c r="BC20" i="7"/>
  <c r="EL20" i="7" s="1"/>
  <c r="BK20" i="7"/>
  <c r="EM20" i="7" s="1"/>
  <c r="BS20" i="7"/>
  <c r="EN20" i="7" s="1"/>
  <c r="CA20" i="7"/>
  <c r="EO20" i="7" s="1"/>
  <c r="CB20" i="7"/>
  <c r="CI20" i="7"/>
  <c r="EP20" i="7" s="1"/>
  <c r="CJ20" i="7"/>
  <c r="CK20" i="7" s="1"/>
  <c r="GV20" i="7"/>
  <c r="S21" i="7"/>
  <c r="Y21" i="7"/>
  <c r="Z21" i="7"/>
  <c r="AE21" i="7"/>
  <c r="AF21" i="7"/>
  <c r="AK21" i="7"/>
  <c r="AL21" i="7"/>
  <c r="AM21" i="7" s="1"/>
  <c r="CP21" i="7" s="1"/>
  <c r="AQ21" i="7"/>
  <c r="AR21" i="7"/>
  <c r="AS21" i="7" s="1"/>
  <c r="CQ21" i="7" s="1"/>
  <c r="AW21" i="7"/>
  <c r="AX21" i="7"/>
  <c r="AY21" i="7" s="1"/>
  <c r="CR21" i="7" s="1"/>
  <c r="BC21" i="7"/>
  <c r="EL21" i="7" s="1"/>
  <c r="BK21" i="7"/>
  <c r="BS21" i="7"/>
  <c r="EN21" i="7" s="1"/>
  <c r="BT21" i="7"/>
  <c r="BU21" i="7" s="1"/>
  <c r="CA21" i="7"/>
  <c r="EO21" i="7" s="1"/>
  <c r="CB21" i="7"/>
  <c r="CC21" i="7" s="1"/>
  <c r="CI21" i="7"/>
  <c r="EP21" i="7" s="1"/>
  <c r="CJ21" i="7"/>
  <c r="CK21" i="7" s="1"/>
  <c r="GV21" i="7"/>
  <c r="G19" i="7"/>
  <c r="GK19" i="7" s="1"/>
  <c r="CS21" i="7" l="1"/>
  <c r="GW21" i="7"/>
  <c r="HU21" i="7" s="1"/>
  <c r="CV19" i="7"/>
  <c r="J6" i="8"/>
  <c r="J7" i="8" s="1"/>
  <c r="HO19" i="7"/>
  <c r="HX19" i="7" s="1"/>
  <c r="CW19" i="7"/>
  <c r="HT19" i="7"/>
  <c r="HY19" i="7" s="1"/>
  <c r="CU19" i="7"/>
  <c r="I6" i="8"/>
  <c r="I7" i="8" s="1"/>
  <c r="HJ19" i="7"/>
  <c r="HW19" i="7" s="1"/>
  <c r="EL19" i="7"/>
  <c r="G11" i="8"/>
  <c r="G12" i="8" s="1"/>
  <c r="CT19" i="7"/>
  <c r="H6" i="8"/>
  <c r="H7" i="8" s="1"/>
  <c r="HE19" i="7"/>
  <c r="HV19" i="7" s="1"/>
  <c r="CS19" i="7"/>
  <c r="G6" i="8"/>
  <c r="G7" i="8" s="1"/>
  <c r="EN19" i="7"/>
  <c r="I11" i="8"/>
  <c r="I12" i="8" s="1"/>
  <c r="EO19" i="7"/>
  <c r="J11" i="8"/>
  <c r="J12" i="8" s="1"/>
  <c r="EM19" i="7"/>
  <c r="H11" i="8"/>
  <c r="H12" i="8" s="1"/>
  <c r="CW21" i="7"/>
  <c r="HT21" i="7"/>
  <c r="HY21" i="7" s="1"/>
  <c r="CU21" i="7"/>
  <c r="HJ21" i="7"/>
  <c r="HW21" i="7" s="1"/>
  <c r="CT21" i="7"/>
  <c r="HE21" i="7"/>
  <c r="HV21" i="7" s="1"/>
  <c r="CV21" i="7"/>
  <c r="HO21" i="7"/>
  <c r="HX21" i="7" s="1"/>
  <c r="CU20" i="7"/>
  <c r="HJ20" i="7"/>
  <c r="HW20" i="7" s="1"/>
  <c r="CW20" i="7"/>
  <c r="HT20" i="7"/>
  <c r="HY20" i="7" s="1"/>
  <c r="CV20" i="7"/>
  <c r="HO20" i="7"/>
  <c r="HX20" i="7" s="1"/>
  <c r="CT20" i="7"/>
  <c r="HE20" i="7"/>
  <c r="HV20" i="7" s="1"/>
  <c r="CC20" i="7"/>
  <c r="CS20" i="7"/>
  <c r="EM21" i="7"/>
  <c r="IJ21" i="7" l="1" a="1"/>
  <c r="IJ20" i="7" a="1"/>
  <c r="IK21" i="7" l="1"/>
  <c r="IJ21" i="7"/>
  <c r="IJ20" i="7"/>
  <c r="IK20" i="7"/>
  <c r="IL21" i="7" l="1"/>
  <c r="IM21" i="7" s="1"/>
  <c r="IO21" i="7"/>
  <c r="IL20" i="7"/>
  <c r="IM20" i="7" s="1"/>
  <c r="IO20" i="7"/>
  <c r="G18" i="7"/>
  <c r="GK18" i="7" l="1"/>
  <c r="CI17" i="7"/>
  <c r="EP17" i="7" s="1"/>
  <c r="CJ17" i="7"/>
  <c r="CK17" i="7" s="1"/>
  <c r="CI18" i="7"/>
  <c r="EP18" i="7" s="1"/>
  <c r="CJ18" i="7"/>
  <c r="CK18" i="7" s="1"/>
  <c r="CA18" i="7"/>
  <c r="EO18" i="7" s="1"/>
  <c r="BS18" i="7"/>
  <c r="EN18" i="7" s="1"/>
  <c r="BK18" i="7"/>
  <c r="EM18" i="7" s="1"/>
  <c r="BC18" i="7"/>
  <c r="EL18" i="7" s="1"/>
  <c r="AW10" i="7"/>
  <c r="HT10" i="7" s="1"/>
  <c r="HY10" i="7" s="1"/>
  <c r="AX10" i="7"/>
  <c r="AY10" i="7" s="1"/>
  <c r="AW11" i="7"/>
  <c r="HT11" i="7" s="1"/>
  <c r="HY11" i="7" s="1"/>
  <c r="AX11" i="7"/>
  <c r="AY11" i="7" s="1"/>
  <c r="AW12" i="7"/>
  <c r="HT12" i="7" s="1"/>
  <c r="HY12" i="7" s="1"/>
  <c r="AX12" i="7"/>
  <c r="AY12" i="7" s="1"/>
  <c r="AW13" i="7"/>
  <c r="HT13" i="7" s="1"/>
  <c r="HY13" i="7" s="1"/>
  <c r="AX13" i="7"/>
  <c r="AY13" i="7" s="1"/>
  <c r="AW14" i="7"/>
  <c r="HT14" i="7" s="1"/>
  <c r="HY14" i="7" s="1"/>
  <c r="AX14" i="7"/>
  <c r="AY14" i="7" s="1"/>
  <c r="AW15" i="7"/>
  <c r="HT15" i="7" s="1"/>
  <c r="HY15" i="7" s="1"/>
  <c r="AX15" i="7"/>
  <c r="AY15" i="7" s="1"/>
  <c r="AW16" i="7"/>
  <c r="AX16" i="7"/>
  <c r="AY16" i="7" s="1"/>
  <c r="CR16" i="7" s="1"/>
  <c r="AW17" i="7"/>
  <c r="AX17" i="7"/>
  <c r="AY17" i="7" s="1"/>
  <c r="CR17" i="7" s="1"/>
  <c r="AW18" i="7"/>
  <c r="AX18" i="7"/>
  <c r="AY18" i="7" s="1"/>
  <c r="CR18" i="7" s="1"/>
  <c r="AQ17" i="7"/>
  <c r="AR17" i="7"/>
  <c r="AS17" i="7" s="1"/>
  <c r="CQ17" i="7" s="1"/>
  <c r="AQ18" i="7"/>
  <c r="AR18" i="7"/>
  <c r="AK17" i="7"/>
  <c r="HJ17" i="7" s="1"/>
  <c r="HW17" i="7" s="1"/>
  <c r="AL17" i="7"/>
  <c r="AK18" i="7"/>
  <c r="AL18" i="7"/>
  <c r="AE17" i="7"/>
  <c r="CT17" i="7" s="1"/>
  <c r="AF17" i="7"/>
  <c r="AE18" i="7"/>
  <c r="AF18" i="7"/>
  <c r="S18" i="7"/>
  <c r="Y17" i="7"/>
  <c r="CS17" i="7" s="1"/>
  <c r="Z17" i="7"/>
  <c r="Y18" i="7"/>
  <c r="GW18" i="7" s="1"/>
  <c r="HU18" i="7" s="1"/>
  <c r="Z18" i="7"/>
  <c r="CW16" i="7" l="1"/>
  <c r="HT16" i="7"/>
  <c r="HY16" i="7" s="1"/>
  <c r="CW17" i="7"/>
  <c r="HT17" i="7"/>
  <c r="HY17" i="7" s="1"/>
  <c r="CW18" i="7"/>
  <c r="HT18" i="7"/>
  <c r="HY18" i="7" s="1"/>
  <c r="CT18" i="7"/>
  <c r="HE18" i="7"/>
  <c r="HV18" i="7" s="1"/>
  <c r="CU18" i="7"/>
  <c r="HJ18" i="7"/>
  <c r="HW18" i="7" s="1"/>
  <c r="CV18" i="7"/>
  <c r="HO18" i="7"/>
  <c r="HX18" i="7" s="1"/>
  <c r="CV17" i="7"/>
  <c r="HO17" i="7"/>
  <c r="HX17" i="7" s="1"/>
  <c r="CU17" i="7"/>
  <c r="CS18" i="7"/>
  <c r="GV17" i="7"/>
  <c r="HD17" i="7"/>
  <c r="HE17" i="7"/>
  <c r="HV17" i="7" s="1"/>
  <c r="BC17" i="7"/>
  <c r="EL17" i="7" s="1"/>
  <c r="BK17" i="7"/>
  <c r="EM17" i="7" s="1"/>
  <c r="BS17" i="7"/>
  <c r="EN17" i="7" s="1"/>
  <c r="CA17" i="7"/>
  <c r="EO17" i="7" s="1"/>
  <c r="CB17" i="7"/>
  <c r="CC17" i="7" s="1"/>
  <c r="S17" i="7"/>
  <c r="G17" i="7"/>
  <c r="GK17" i="7" s="1"/>
  <c r="IJ17" i="7" l="1" a="1"/>
  <c r="IJ17" i="7" s="1"/>
  <c r="GW17" i="7"/>
  <c r="HU17" i="7" s="1"/>
  <c r="IK17" i="7" l="1"/>
  <c r="IL17" i="7"/>
  <c r="IM17" i="7" s="1"/>
  <c r="IO17" i="7"/>
  <c r="HD16" i="7"/>
  <c r="GV16" i="7"/>
  <c r="CJ16" i="7"/>
  <c r="CI16" i="7"/>
  <c r="EP16" i="7" s="1"/>
  <c r="CA16" i="7"/>
  <c r="EO16" i="7" s="1"/>
  <c r="BS16" i="7"/>
  <c r="EN16" i="7" s="1"/>
  <c r="BK16" i="7"/>
  <c r="EM16" i="7" s="1"/>
  <c r="BC16" i="7"/>
  <c r="EL16" i="7" s="1"/>
  <c r="AR16" i="7"/>
  <c r="AQ16" i="7"/>
  <c r="AL16" i="7"/>
  <c r="AK16" i="7"/>
  <c r="AF16" i="7"/>
  <c r="AE16" i="7"/>
  <c r="CT16" i="7" s="1"/>
  <c r="Z16" i="7"/>
  <c r="Y16" i="7"/>
  <c r="CS16" i="7" s="1"/>
  <c r="S16" i="7"/>
  <c r="G16" i="7"/>
  <c r="GK16" i="7" s="1"/>
  <c r="CU16" i="7" l="1"/>
  <c r="HJ16" i="7"/>
  <c r="HW16" i="7" s="1"/>
  <c r="CV16" i="7"/>
  <c r="HO16" i="7"/>
  <c r="HX16" i="7" s="1"/>
  <c r="GW16" i="7"/>
  <c r="HU16" i="7" s="1"/>
  <c r="HE16" i="7"/>
  <c r="HV16" i="7" s="1"/>
  <c r="CK16" i="7"/>
  <c r="Z13" i="7" l="1"/>
  <c r="HD15" i="7"/>
  <c r="GV15" i="7"/>
  <c r="CW15" i="7"/>
  <c r="CR15" i="7"/>
  <c r="CJ15" i="7"/>
  <c r="CI15" i="7"/>
  <c r="EP15" i="7" s="1"/>
  <c r="CB15" i="7"/>
  <c r="CC15" i="7" s="1"/>
  <c r="CA15" i="7"/>
  <c r="EO15" i="7" s="1"/>
  <c r="BS15" i="7"/>
  <c r="EN15" i="7" s="1"/>
  <c r="BK15" i="7"/>
  <c r="EM15" i="7" s="1"/>
  <c r="BC15" i="7"/>
  <c r="EL15" i="7" s="1"/>
  <c r="AR15" i="7"/>
  <c r="AS15" i="7" s="1"/>
  <c r="CQ15" i="7" s="1"/>
  <c r="AQ15" i="7"/>
  <c r="AL15" i="7"/>
  <c r="AK15" i="7"/>
  <c r="HJ15" i="7" s="1"/>
  <c r="HW15" i="7" s="1"/>
  <c r="AF15" i="7"/>
  <c r="AE15" i="7"/>
  <c r="CT15" i="7" s="1"/>
  <c r="Z15" i="7"/>
  <c r="Y15" i="7"/>
  <c r="GW15" i="7" s="1"/>
  <c r="HU15" i="7" s="1"/>
  <c r="S15" i="7"/>
  <c r="G15" i="7"/>
  <c r="GK15" i="7" s="1"/>
  <c r="HD14" i="7"/>
  <c r="GV14" i="7"/>
  <c r="CW14" i="7"/>
  <c r="CR14" i="7"/>
  <c r="CJ14" i="7"/>
  <c r="CK14" i="7" s="1"/>
  <c r="CI14" i="7"/>
  <c r="EP14" i="7" s="1"/>
  <c r="CB14" i="7"/>
  <c r="CA14" i="7"/>
  <c r="EO14" i="7" s="1"/>
  <c r="BS14" i="7"/>
  <c r="EN14" i="7" s="1"/>
  <c r="BK14" i="7"/>
  <c r="EM14" i="7" s="1"/>
  <c r="BC14" i="7"/>
  <c r="EL14" i="7" s="1"/>
  <c r="AR14" i="7"/>
  <c r="AS14" i="7" s="1"/>
  <c r="CQ14" i="7" s="1"/>
  <c r="AQ14" i="7"/>
  <c r="AL14" i="7"/>
  <c r="AK14" i="7"/>
  <c r="AF14" i="7"/>
  <c r="AE14" i="7"/>
  <c r="CT14" i="7" s="1"/>
  <c r="Z14" i="7"/>
  <c r="Y14" i="7"/>
  <c r="GW14" i="7" s="1"/>
  <c r="HU14" i="7" s="1"/>
  <c r="S14" i="7"/>
  <c r="G14" i="7"/>
  <c r="GK14" i="7" s="1"/>
  <c r="HD13" i="7"/>
  <c r="GV13" i="7"/>
  <c r="CW13" i="7"/>
  <c r="CR13" i="7"/>
  <c r="CJ13" i="7"/>
  <c r="CI13" i="7"/>
  <c r="EP13" i="7" s="1"/>
  <c r="CB13" i="7"/>
  <c r="CA13" i="7"/>
  <c r="EO13" i="7" s="1"/>
  <c r="BS13" i="7"/>
  <c r="EN13" i="7" s="1"/>
  <c r="BK13" i="7"/>
  <c r="EM13" i="7" s="1"/>
  <c r="BC13" i="7"/>
  <c r="EL13" i="7" s="1"/>
  <c r="AR13" i="7"/>
  <c r="AS13" i="7" s="1"/>
  <c r="CQ13" i="7" s="1"/>
  <c r="AQ13" i="7"/>
  <c r="AL13" i="7"/>
  <c r="AK13" i="7"/>
  <c r="AF13" i="7"/>
  <c r="AE13" i="7"/>
  <c r="CT13" i="7" s="1"/>
  <c r="Y13" i="7"/>
  <c r="GW13" i="7" s="1"/>
  <c r="HU13" i="7" s="1"/>
  <c r="S13" i="7"/>
  <c r="G13" i="7"/>
  <c r="GK13" i="7" s="1"/>
  <c r="G12" i="7"/>
  <c r="CU14" i="7" l="1"/>
  <c r="HJ14" i="7"/>
  <c r="HW14" i="7" s="1"/>
  <c r="CU13" i="7"/>
  <c r="HJ13" i="7"/>
  <c r="HW13" i="7" s="1"/>
  <c r="CU15" i="7"/>
  <c r="CV15" i="7"/>
  <c r="HO15" i="7"/>
  <c r="HX15" i="7" s="1"/>
  <c r="CV13" i="7"/>
  <c r="HO13" i="7"/>
  <c r="HX13" i="7" s="1"/>
  <c r="HE15" i="7"/>
  <c r="HV15" i="7" s="1"/>
  <c r="IJ15" i="7" s="1" a="1"/>
  <c r="CV14" i="7"/>
  <c r="HO14" i="7"/>
  <c r="HX14" i="7" s="1"/>
  <c r="CS13" i="7"/>
  <c r="HE14" i="7"/>
  <c r="HV14" i="7" s="1"/>
  <c r="CS15" i="7"/>
  <c r="HE13" i="7"/>
  <c r="HV13" i="7" s="1"/>
  <c r="CS14" i="7"/>
  <c r="CK15" i="7"/>
  <c r="CC14" i="7"/>
  <c r="CC13" i="7"/>
  <c r="CK13" i="7"/>
  <c r="G11" i="7"/>
  <c r="GK11" i="7" s="1"/>
  <c r="IJ14" i="7" l="1" a="1"/>
  <c r="IJ14" i="7"/>
  <c r="IK14" i="7"/>
  <c r="IK15" i="7"/>
  <c r="IJ15" i="7"/>
  <c r="IJ13" i="7" a="1"/>
  <c r="IK13" i="7" l="1"/>
  <c r="IJ13" i="7"/>
  <c r="IL15" i="7"/>
  <c r="IM15" i="7" s="1"/>
  <c r="IO15" i="7"/>
  <c r="IO14" i="7"/>
  <c r="IL14" i="7"/>
  <c r="IM14" i="7" s="1"/>
  <c r="BC10" i="7"/>
  <c r="Z10" i="7"/>
  <c r="IL13" i="7" l="1"/>
  <c r="IM13" i="7" s="1"/>
  <c r="IO13" i="7"/>
  <c r="AK10" i="7"/>
  <c r="HJ10" i="7" s="1"/>
  <c r="HW10" i="7" s="1"/>
  <c r="S8" i="7"/>
  <c r="HD10" i="7" l="1"/>
  <c r="HD11" i="7"/>
  <c r="HD12" i="7"/>
  <c r="HZ9" i="7"/>
  <c r="GV10" i="7"/>
  <c r="GV11" i="7"/>
  <c r="GV12" i="7"/>
  <c r="GK12" i="7"/>
  <c r="CW10" i="7"/>
  <c r="CW11" i="7"/>
  <c r="CW12" i="7"/>
  <c r="CR10" i="7"/>
  <c r="CR11" i="7"/>
  <c r="CR12" i="7"/>
  <c r="CJ10" i="7"/>
  <c r="CK10" i="7" s="1"/>
  <c r="CJ11" i="7"/>
  <c r="CK11" i="7" s="1"/>
  <c r="CJ12" i="7"/>
  <c r="CK12" i="7" s="1"/>
  <c r="CI10" i="7"/>
  <c r="EP10" i="7" s="1"/>
  <c r="CI11" i="7"/>
  <c r="EP11" i="7" s="1"/>
  <c r="CI12" i="7"/>
  <c r="EP12" i="7" s="1"/>
  <c r="CB11" i="7"/>
  <c r="CC11" i="7" s="1"/>
  <c r="CB12" i="7"/>
  <c r="CC12" i="7" s="1"/>
  <c r="CA10" i="7"/>
  <c r="EO10" i="7" s="1"/>
  <c r="CA11" i="7"/>
  <c r="EO11" i="7" s="1"/>
  <c r="CA12" i="7"/>
  <c r="EO12" i="7" s="1"/>
  <c r="BS10" i="7"/>
  <c r="BS11" i="7"/>
  <c r="EN11" i="7" s="1"/>
  <c r="BS12" i="7"/>
  <c r="EN12" i="7" s="1"/>
  <c r="BK10" i="7"/>
  <c r="EM10" i="7" s="1"/>
  <c r="BK11" i="7"/>
  <c r="EM11" i="7" s="1"/>
  <c r="BK12" i="7"/>
  <c r="EM12" i="7" s="1"/>
  <c r="BD9" i="7"/>
  <c r="BE9" i="7" s="1"/>
  <c r="EL10" i="7"/>
  <c r="BC11" i="7"/>
  <c r="EL11" i="7" s="1"/>
  <c r="BC12" i="7"/>
  <c r="EL12" i="7" s="1"/>
  <c r="AR10" i="7"/>
  <c r="AR11" i="7"/>
  <c r="AS11" i="7" s="1"/>
  <c r="CQ11" i="7" s="1"/>
  <c r="AR12" i="7"/>
  <c r="AS12" i="7" s="1"/>
  <c r="CQ12" i="7" s="1"/>
  <c r="AQ10" i="7"/>
  <c r="AQ11" i="7"/>
  <c r="AQ12" i="7"/>
  <c r="AL10" i="7"/>
  <c r="AL11" i="7"/>
  <c r="AL12" i="7"/>
  <c r="CU10" i="7"/>
  <c r="AK11" i="7"/>
  <c r="AK12" i="7"/>
  <c r="AF10" i="7"/>
  <c r="AF11" i="7"/>
  <c r="AF12" i="7"/>
  <c r="AE9" i="7"/>
  <c r="AE10" i="7"/>
  <c r="CT10" i="7" s="1"/>
  <c r="AE11" i="7"/>
  <c r="HE11" i="7" s="1"/>
  <c r="HV11" i="7" s="1"/>
  <c r="AE12" i="7"/>
  <c r="HE12" i="7" s="1"/>
  <c r="HV12" i="7" s="1"/>
  <c r="S10" i="7"/>
  <c r="S11" i="7"/>
  <c r="S12" i="7"/>
  <c r="Y11" i="7"/>
  <c r="GW11" i="7" s="1"/>
  <c r="HU11" i="7" s="1"/>
  <c r="Y12" i="7"/>
  <c r="CS12" i="7" s="1"/>
  <c r="Z11" i="7"/>
  <c r="Z12" i="7"/>
  <c r="Y10" i="7"/>
  <c r="G10" i="7"/>
  <c r="GK10" i="7" s="1"/>
  <c r="CU12" i="7" l="1"/>
  <c r="HJ12" i="7"/>
  <c r="HW12" i="7" s="1"/>
  <c r="CV10" i="7"/>
  <c r="HO10" i="7"/>
  <c r="HX10" i="7" s="1"/>
  <c r="CU11" i="7"/>
  <c r="HJ11" i="7"/>
  <c r="HW11" i="7" s="1"/>
  <c r="CV12" i="7"/>
  <c r="HO12" i="7"/>
  <c r="HX12" i="7" s="1"/>
  <c r="IJ12" i="7" s="1" a="1"/>
  <c r="CV11" i="7"/>
  <c r="HO11" i="7"/>
  <c r="HX11" i="7" s="1"/>
  <c r="IJ11" i="7" s="1" a="1"/>
  <c r="EN10" i="7"/>
  <c r="GW10" i="7"/>
  <c r="HU10" i="7" s="1"/>
  <c r="CT12" i="7"/>
  <c r="GW12" i="7"/>
  <c r="HU12" i="7" s="1"/>
  <c r="CS11" i="7"/>
  <c r="CT11" i="7"/>
  <c r="HE10" i="7"/>
  <c r="HV10" i="7" s="1"/>
  <c r="CS10" i="7"/>
  <c r="HD9" i="7"/>
  <c r="GV9" i="7"/>
  <c r="HN9" i="7"/>
  <c r="IC9" i="7"/>
  <c r="AZ26" i="4"/>
  <c r="AY26" i="4"/>
  <c r="AU26" i="4"/>
  <c r="AT26" i="4"/>
  <c r="AP26" i="4"/>
  <c r="AO26" i="4"/>
  <c r="AJ26" i="4"/>
  <c r="AK26" i="4" s="1"/>
  <c r="AH26" i="4"/>
  <c r="AG26" i="4"/>
  <c r="IK11" i="7" l="1"/>
  <c r="IJ11" i="7"/>
  <c r="IJ12" i="7"/>
  <c r="IK12" i="7"/>
  <c r="ID9" i="7"/>
  <c r="IL2" i="7"/>
  <c r="IM2" i="7" s="1"/>
  <c r="IL3" i="7"/>
  <c r="IM3" i="7" s="1"/>
  <c r="IL4" i="7"/>
  <c r="IM4" i="7" s="1"/>
  <c r="IL5" i="7"/>
  <c r="IM5" i="7" s="1"/>
  <c r="IL6" i="7"/>
  <c r="IM6" i="7" s="1"/>
  <c r="IL7" i="7"/>
  <c r="IM7" i="7" s="1"/>
  <c r="IO12" i="7" l="1"/>
  <c r="IL12" i="7"/>
  <c r="IM12" i="7" s="1"/>
  <c r="IO11" i="7"/>
  <c r="IL11" i="7"/>
  <c r="IM11" i="7" s="1"/>
  <c r="CJ9" i="7"/>
  <c r="CJ3" i="7"/>
  <c r="CK3" i="7" s="1"/>
  <c r="CJ5" i="7"/>
  <c r="CK5" i="7" s="1"/>
  <c r="CJ7" i="7"/>
  <c r="CK7" i="7" s="1"/>
  <c r="CJ8" i="7"/>
  <c r="CK8" i="7" s="1"/>
  <c r="CA3" i="7"/>
  <c r="CA4" i="7"/>
  <c r="CA5" i="7"/>
  <c r="CA6" i="7"/>
  <c r="CA7" i="7"/>
  <c r="CA8" i="7"/>
  <c r="CA9" i="7"/>
  <c r="EO9" i="7" s="1"/>
  <c r="CB5" i="7"/>
  <c r="CC5" i="7" s="1"/>
  <c r="CB8" i="7"/>
  <c r="CC8" i="7" s="1"/>
  <c r="CB9" i="7"/>
  <c r="S9" i="7"/>
  <c r="HS5" i="7"/>
  <c r="HS6" i="7"/>
  <c r="HS7" i="7"/>
  <c r="HS8" i="7"/>
  <c r="HS9" i="7"/>
  <c r="HN5" i="7"/>
  <c r="HN6" i="7"/>
  <c r="HN7" i="7"/>
  <c r="HN8" i="7"/>
  <c r="BT9" i="7"/>
  <c r="BT5" i="7"/>
  <c r="BU5" i="7" s="1"/>
  <c r="BL9" i="7"/>
  <c r="BL5" i="7"/>
  <c r="BM5" i="7" s="1"/>
  <c r="BD5" i="7"/>
  <c r="BE5" i="7" s="1"/>
  <c r="CI9" i="7"/>
  <c r="EP9" i="7" s="1"/>
  <c r="BS9" i="7"/>
  <c r="EN9" i="7" s="1"/>
  <c r="BK9" i="7"/>
  <c r="EM9" i="7" s="1"/>
  <c r="BC9" i="7"/>
  <c r="EL9" i="7" s="1"/>
  <c r="AX9" i="7"/>
  <c r="AW9" i="7"/>
  <c r="CW9" i="7" s="1"/>
  <c r="AR9" i="7"/>
  <c r="AQ9" i="7"/>
  <c r="AL9" i="7"/>
  <c r="AK9" i="7"/>
  <c r="HJ9" i="7" s="1"/>
  <c r="AF9" i="7"/>
  <c r="Z9" i="7"/>
  <c r="Y9" i="7"/>
  <c r="G8" i="7"/>
  <c r="G9" i="7"/>
  <c r="GK9" i="7" s="1"/>
  <c r="CS9" i="7" l="1"/>
  <c r="GW9" i="7"/>
  <c r="CV9" i="7"/>
  <c r="HO9" i="7"/>
  <c r="HX9" i="7" s="1"/>
  <c r="CT9" i="7"/>
  <c r="HE9" i="7"/>
  <c r="HV9" i="7" s="1"/>
  <c r="CU9" i="7"/>
  <c r="HW9" i="7"/>
  <c r="IS9" i="7"/>
  <c r="IA9" i="7"/>
  <c r="IB9" i="7"/>
  <c r="CC9" i="7"/>
  <c r="CK9" i="7"/>
  <c r="BU9" i="7"/>
  <c r="HT9" i="7"/>
  <c r="HY9" i="7" s="1"/>
  <c r="HU9" i="7"/>
  <c r="BM9" i="7"/>
  <c r="HI8" i="7" l="1"/>
  <c r="HI5" i="7"/>
  <c r="HI6" i="7"/>
  <c r="HI7" i="7"/>
  <c r="HD6" i="7"/>
  <c r="HD7" i="7"/>
  <c r="HD8" i="7"/>
  <c r="GV8" i="7"/>
  <c r="GY8" i="7"/>
  <c r="IS8" i="7" s="1"/>
  <c r="K9" i="5"/>
  <c r="J9" i="5"/>
  <c r="I9" i="5"/>
  <c r="H9" i="5"/>
  <c r="F9" i="5"/>
  <c r="D9" i="5"/>
  <c r="C9" i="5"/>
  <c r="B9" i="5"/>
  <c r="L5" i="5"/>
  <c r="K5" i="5"/>
  <c r="J5" i="5"/>
  <c r="I5" i="5"/>
  <c r="H5" i="5"/>
  <c r="E5" i="5"/>
  <c r="C5" i="5"/>
  <c r="B5" i="5"/>
  <c r="A5" i="5"/>
  <c r="F5" i="5" l="1"/>
  <c r="G9" i="5"/>
  <c r="GZ8" i="7"/>
  <c r="HZ8" i="7"/>
  <c r="IB8" i="7"/>
  <c r="IA8" i="7"/>
  <c r="HD5" i="7" l="1"/>
  <c r="GZ3" i="7"/>
  <c r="GZ4" i="7"/>
  <c r="GZ5" i="7"/>
  <c r="GZ6" i="7"/>
  <c r="GZ7" i="7"/>
  <c r="GY3" i="7"/>
  <c r="GY4" i="7"/>
  <c r="GY5" i="7"/>
  <c r="GY6" i="7"/>
  <c r="GY7" i="7"/>
  <c r="GZ2" i="7"/>
  <c r="P4" i="3"/>
  <c r="Q4" i="3"/>
  <c r="O4" i="3"/>
  <c r="AX3" i="7"/>
  <c r="AY3" i="7" s="1"/>
  <c r="CR3" i="7" s="1"/>
  <c r="AX4" i="7"/>
  <c r="AX5" i="7"/>
  <c r="AY5" i="7" s="1"/>
  <c r="CR5" i="7" s="1"/>
  <c r="AX6" i="7"/>
  <c r="AX7" i="7"/>
  <c r="AY7" i="7" s="1"/>
  <c r="CR7" i="7" s="1"/>
  <c r="AX8" i="7"/>
  <c r="AY8" i="7" s="1"/>
  <c r="CR8" i="7" s="1"/>
  <c r="AX2" i="7"/>
  <c r="AR3" i="7"/>
  <c r="AR4" i="7"/>
  <c r="AR5" i="7"/>
  <c r="AR6" i="7"/>
  <c r="AR7" i="7"/>
  <c r="AS7" i="7" s="1"/>
  <c r="CQ7" i="7" s="1"/>
  <c r="AR8" i="7"/>
  <c r="AS8" i="7" s="1"/>
  <c r="CQ8" i="7" s="1"/>
  <c r="AR2" i="7"/>
  <c r="AL2" i="7"/>
  <c r="AL3" i="7"/>
  <c r="AL4" i="7"/>
  <c r="AL5" i="7"/>
  <c r="AL6" i="7"/>
  <c r="AL7" i="7"/>
  <c r="AL8" i="7"/>
  <c r="AF3" i="7"/>
  <c r="AF4" i="7"/>
  <c r="AF5" i="7"/>
  <c r="AF6" i="7"/>
  <c r="AF7" i="7"/>
  <c r="AF8" i="7"/>
  <c r="AF2" i="7"/>
  <c r="Z2" i="7"/>
  <c r="Z3" i="7"/>
  <c r="Z4" i="7"/>
  <c r="Z5" i="7"/>
  <c r="Z6" i="7"/>
  <c r="Z7" i="7"/>
  <c r="CI8" i="7"/>
  <c r="EP8" i="7" s="1"/>
  <c r="EO8" i="7"/>
  <c r="BS8" i="7"/>
  <c r="BK8" i="7"/>
  <c r="BC8" i="7"/>
  <c r="AW8" i="7"/>
  <c r="AQ8" i="7"/>
  <c r="AK8" i="7"/>
  <c r="HJ8" i="7" s="1"/>
  <c r="AE8" i="7"/>
  <c r="GK8" i="7"/>
  <c r="CI7" i="7"/>
  <c r="EP7" i="7" s="1"/>
  <c r="EO7" i="7"/>
  <c r="BS7" i="7"/>
  <c r="BK7" i="7"/>
  <c r="BC7" i="7"/>
  <c r="AW7" i="7"/>
  <c r="AQ7" i="7"/>
  <c r="AK7" i="7"/>
  <c r="AE7" i="7"/>
  <c r="Y7" i="7"/>
  <c r="S7" i="7"/>
  <c r="G7" i="7"/>
  <c r="GK7" i="7" s="1"/>
  <c r="CI6" i="7"/>
  <c r="EO6" i="7"/>
  <c r="BS6" i="7"/>
  <c r="BK6" i="7"/>
  <c r="BC6" i="7"/>
  <c r="AW6" i="7"/>
  <c r="AQ6" i="7"/>
  <c r="AK6" i="7"/>
  <c r="AE6" i="7"/>
  <c r="HE6" i="7" s="1"/>
  <c r="Y6" i="7"/>
  <c r="S6" i="7"/>
  <c r="G6" i="7"/>
  <c r="GK6" i="7" s="1"/>
  <c r="EO5" i="7"/>
  <c r="EN5" i="7"/>
  <c r="CI5" i="7"/>
  <c r="EP5" i="7" s="1"/>
  <c r="BK5" i="7"/>
  <c r="EM5" i="7" s="1"/>
  <c r="BC5" i="7"/>
  <c r="EL5" i="7" s="1"/>
  <c r="AW5" i="7"/>
  <c r="AQ5" i="7"/>
  <c r="AK5" i="7"/>
  <c r="AE5" i="7"/>
  <c r="CT5" i="7" s="1"/>
  <c r="Y5" i="7"/>
  <c r="G5" i="7"/>
  <c r="GK5" i="7" s="1"/>
  <c r="HS4" i="7"/>
  <c r="HN4" i="7"/>
  <c r="HI4" i="7"/>
  <c r="HD4" i="7"/>
  <c r="GV4" i="7"/>
  <c r="CI4" i="7"/>
  <c r="EO4" i="7"/>
  <c r="BS4" i="7"/>
  <c r="BK4" i="7"/>
  <c r="BC4" i="7"/>
  <c r="AW4" i="7"/>
  <c r="HT4" i="7" s="1"/>
  <c r="AQ4" i="7"/>
  <c r="HO4" i="7" s="1"/>
  <c r="AK4" i="7"/>
  <c r="CU4" i="7" s="1"/>
  <c r="AE4" i="7"/>
  <c r="Y4" i="7"/>
  <c r="GW4" i="7" s="1"/>
  <c r="S4" i="7"/>
  <c r="G4" i="7"/>
  <c r="GK4" i="7" s="1"/>
  <c r="HS3" i="7"/>
  <c r="HN3" i="7"/>
  <c r="HI3" i="7"/>
  <c r="HD3" i="7"/>
  <c r="GV3" i="7"/>
  <c r="CI3" i="7"/>
  <c r="EO3" i="7"/>
  <c r="BS3" i="7"/>
  <c r="BK3" i="7"/>
  <c r="BC3" i="7"/>
  <c r="EL3" i="7" s="1"/>
  <c r="AW3" i="7"/>
  <c r="CW3" i="7" s="1"/>
  <c r="AQ3" i="7"/>
  <c r="HO3" i="7" s="1"/>
  <c r="AK3" i="7"/>
  <c r="CU3" i="7" s="1"/>
  <c r="AE3" i="7"/>
  <c r="HE3" i="7" s="1"/>
  <c r="Y3" i="7"/>
  <c r="GW3" i="7" s="1"/>
  <c r="S3" i="7"/>
  <c r="G3" i="7"/>
  <c r="GK3" i="7" s="1"/>
  <c r="HS2" i="7"/>
  <c r="HN2" i="7"/>
  <c r="HI2" i="7"/>
  <c r="HD2" i="7"/>
  <c r="GY2" i="7"/>
  <c r="GV2" i="7"/>
  <c r="CI2" i="7"/>
  <c r="EP2" i="7" s="1"/>
  <c r="CA2" i="7"/>
  <c r="EO2" i="7" s="1"/>
  <c r="BS2" i="7"/>
  <c r="EN2" i="7" s="1"/>
  <c r="BK2" i="7"/>
  <c r="EM2" i="7" s="1"/>
  <c r="BC2" i="7"/>
  <c r="EL2" i="7" s="1"/>
  <c r="AW2" i="7"/>
  <c r="CW2" i="7" s="1"/>
  <c r="AQ2" i="7"/>
  <c r="HO2" i="7" s="1"/>
  <c r="AK2" i="7"/>
  <c r="CU2" i="7" s="1"/>
  <c r="AE2" i="7"/>
  <c r="HE2" i="7" s="1"/>
  <c r="Y2" i="7"/>
  <c r="CS2" i="7" s="1"/>
  <c r="S2" i="7"/>
  <c r="G2" i="7"/>
  <c r="GK2" i="7" s="1"/>
  <c r="R2" i="3"/>
  <c r="Q2" i="3"/>
  <c r="P2" i="3"/>
  <c r="O2" i="3"/>
  <c r="EL6" i="7" l="1"/>
  <c r="EN7" i="7"/>
  <c r="EN3" i="7"/>
  <c r="CV5" i="7"/>
  <c r="HO5" i="7"/>
  <c r="EL4" i="7"/>
  <c r="CW5" i="7"/>
  <c r="HT5" i="7"/>
  <c r="EN6" i="7"/>
  <c r="CV8" i="7"/>
  <c r="HO8" i="7"/>
  <c r="EM4" i="7"/>
  <c r="CW8" i="7"/>
  <c r="HT8" i="7"/>
  <c r="EN4" i="7"/>
  <c r="EP6" i="7"/>
  <c r="CV7" i="7"/>
  <c r="HO7" i="7"/>
  <c r="CW7" i="7"/>
  <c r="HT7" i="7"/>
  <c r="EM3" i="7"/>
  <c r="CV6" i="7"/>
  <c r="HO6" i="7"/>
  <c r="EL7" i="7"/>
  <c r="EN8" i="7"/>
  <c r="CW6" i="7"/>
  <c r="HT6" i="7"/>
  <c r="EM7" i="7"/>
  <c r="CS8" i="7"/>
  <c r="GW8" i="7"/>
  <c r="CT8" i="7"/>
  <c r="HE8" i="7"/>
  <c r="CS5" i="7"/>
  <c r="GW5" i="7"/>
  <c r="CU5" i="7"/>
  <c r="HJ5" i="7"/>
  <c r="CS6" i="7"/>
  <c r="GW6" i="7"/>
  <c r="CS7" i="7"/>
  <c r="GW7" i="7"/>
  <c r="CT7" i="7"/>
  <c r="HE7" i="7"/>
  <c r="CU6" i="7"/>
  <c r="HJ6" i="7"/>
  <c r="CU7" i="7"/>
  <c r="HJ7" i="7"/>
  <c r="CV3" i="7"/>
  <c r="CT6" i="7"/>
  <c r="CU8" i="7"/>
  <c r="HW8" i="7"/>
  <c r="CV4" i="7"/>
  <c r="HE5" i="7"/>
  <c r="HJ2" i="7"/>
  <c r="CW4" i="7"/>
  <c r="GW2" i="7"/>
  <c r="CS3" i="7"/>
  <c r="EL8" i="7"/>
  <c r="CT2" i="7"/>
  <c r="CV2" i="7"/>
  <c r="HJ3" i="7"/>
  <c r="EM6" i="7"/>
  <c r="EP4" i="7"/>
  <c r="CT4" i="7"/>
  <c r="HE4" i="7"/>
  <c r="EM8" i="7"/>
  <c r="CS4" i="7"/>
  <c r="HT3" i="7"/>
  <c r="HT2" i="7"/>
  <c r="CT3" i="7"/>
  <c r="HJ4" i="7"/>
  <c r="EQ9" i="7" l="1" a="1"/>
  <c r="ER9" i="7" s="1"/>
  <c r="CX7" i="7" a="1"/>
  <c r="CX7" i="7" s="1"/>
  <c r="HV8" i="7"/>
  <c r="IJ8" i="7" s="1" a="1"/>
  <c r="HU8" i="7"/>
  <c r="EQ9" i="7" l="1"/>
  <c r="CY7" i="7"/>
  <c r="IJ8" i="7"/>
  <c r="IK8" i="7"/>
  <c r="M34" i="4"/>
  <c r="N34" i="4"/>
  <c r="B34" i="4"/>
  <c r="C34" i="4"/>
  <c r="D34" i="4"/>
  <c r="E34" i="4"/>
  <c r="F34" i="4"/>
  <c r="G34" i="4"/>
  <c r="H34" i="4"/>
  <c r="I34" i="4"/>
  <c r="J34" i="4"/>
  <c r="K34" i="4"/>
  <c r="L34" i="4"/>
  <c r="A34" i="4"/>
  <c r="IL8" i="7" l="1"/>
  <c r="IM8" i="7" s="1"/>
  <c r="IN8" i="7" s="1"/>
  <c r="IO8" i="7"/>
  <c r="M6" i="4"/>
  <c r="Q6" i="4"/>
  <c r="P6" i="4"/>
  <c r="O6" i="4"/>
  <c r="N6" i="4"/>
  <c r="A9" i="3" l="1" a="1"/>
  <c r="A9" i="3" s="1"/>
  <c r="GE2" i="7" l="1"/>
  <c r="GF2" i="7" s="1"/>
  <c r="B9" i="3"/>
  <c r="B6" i="2" l="1"/>
  <c r="Q2" i="4"/>
  <c r="P2" i="4"/>
  <c r="O2" i="4"/>
  <c r="N2" i="4"/>
  <c r="M2" i="4"/>
  <c r="G7" i="4"/>
  <c r="K3" i="3"/>
  <c r="G3" i="4"/>
  <c r="F11" i="4"/>
  <c r="F10" i="4"/>
  <c r="E11" i="4"/>
  <c r="E10" i="4"/>
  <c r="F7" i="4"/>
  <c r="E7" i="4"/>
  <c r="F3" i="4"/>
  <c r="E3" i="4"/>
  <c r="D11" i="4"/>
  <c r="D10" i="4"/>
  <c r="D7" i="4"/>
  <c r="D3" i="4"/>
  <c r="C10" i="4"/>
  <c r="C2" i="4"/>
  <c r="C3" i="4"/>
  <c r="B3" i="2"/>
  <c r="GG29" i="7" l="1"/>
  <c r="GH29" i="7" s="1"/>
  <c r="GL29" i="7" s="1"/>
  <c r="GM29" i="7" s="1"/>
  <c r="GQ29" i="7" s="1"/>
  <c r="GR29" i="7" s="1"/>
  <c r="IN29" i="7"/>
  <c r="IQ29" i="7" s="1"/>
  <c r="IR29" i="7" s="1"/>
  <c r="IT29" i="7" s="1"/>
  <c r="IU29" i="7" s="1"/>
  <c r="IV29" i="7" s="1"/>
  <c r="IN26" i="7"/>
  <c r="IQ26" i="7" s="1"/>
  <c r="IR26" i="7" s="1"/>
  <c r="IT26" i="7" s="1"/>
  <c r="IU26" i="7" s="1"/>
  <c r="IV26" i="7" s="1"/>
  <c r="IN28" i="7"/>
  <c r="IQ28" i="7" s="1"/>
  <c r="IR28" i="7" s="1"/>
  <c r="IT28" i="7" s="1"/>
  <c r="IU28" i="7" s="1"/>
  <c r="IV28" i="7" s="1"/>
  <c r="IN27" i="7"/>
  <c r="IQ27" i="7" s="1"/>
  <c r="IR27" i="7" s="1"/>
  <c r="IT27" i="7" s="1"/>
  <c r="IU27" i="7" s="1"/>
  <c r="IV27" i="7" s="1"/>
  <c r="IN24" i="7"/>
  <c r="IQ24" i="7" s="1"/>
  <c r="GG28" i="7"/>
  <c r="GH28" i="7" s="1"/>
  <c r="GL28" i="7" s="1"/>
  <c r="GM28" i="7" s="1"/>
  <c r="GQ28" i="7" s="1"/>
  <c r="GR28" i="7" s="1"/>
  <c r="IN22" i="7"/>
  <c r="IQ22" i="7" s="1"/>
  <c r="T24" i="7"/>
  <c r="T26" i="7"/>
  <c r="T29" i="7"/>
  <c r="BT23" i="7"/>
  <c r="T27" i="7"/>
  <c r="AS23" i="7"/>
  <c r="CQ23" i="7" s="1"/>
  <c r="BD23" i="7"/>
  <c r="T28" i="7"/>
  <c r="BL23" i="7"/>
  <c r="T23" i="7"/>
  <c r="U23" i="7" s="1"/>
  <c r="CB23" i="7"/>
  <c r="IF27" i="7"/>
  <c r="IF23" i="7"/>
  <c r="IH28" i="7"/>
  <c r="AM23" i="7"/>
  <c r="CP23" i="7" s="1"/>
  <c r="IG26" i="7"/>
  <c r="IE29" i="7"/>
  <c r="IH24" i="7"/>
  <c r="IE28" i="7"/>
  <c r="IE27" i="7"/>
  <c r="IE26" i="7"/>
  <c r="I24" i="7"/>
  <c r="II28" i="7"/>
  <c r="IF29" i="7"/>
  <c r="II26" i="7"/>
  <c r="IH26" i="7"/>
  <c r="II24" i="7"/>
  <c r="IG28" i="7"/>
  <c r="AG23" i="7"/>
  <c r="CO23" i="7" s="1"/>
  <c r="IG27" i="7"/>
  <c r="IG29" i="7"/>
  <c r="IF28" i="7"/>
  <c r="II23" i="7"/>
  <c r="IH29" i="7"/>
  <c r="I23" i="7"/>
  <c r="IH27" i="7"/>
  <c r="AA23" i="7"/>
  <c r="II27" i="7"/>
  <c r="IG23" i="7"/>
  <c r="IH23" i="7"/>
  <c r="IF26" i="7"/>
  <c r="II29" i="7"/>
  <c r="BL22" i="7"/>
  <c r="I22" i="7"/>
  <c r="IP22" i="7" s="1"/>
  <c r="T22" i="7"/>
  <c r="BD22" i="7"/>
  <c r="BT22" i="7"/>
  <c r="AG22" i="7"/>
  <c r="CO22" i="7" s="1"/>
  <c r="IF22" i="7"/>
  <c r="AM22" i="7"/>
  <c r="CP22" i="7" s="1"/>
  <c r="IH22" i="7"/>
  <c r="II22" i="7"/>
  <c r="AA22" i="7"/>
  <c r="IG22" i="7"/>
  <c r="IE22" i="7"/>
  <c r="BD20" i="7"/>
  <c r="BE20" i="7" s="1"/>
  <c r="BL20" i="7"/>
  <c r="BM20" i="7" s="1"/>
  <c r="BD21" i="7"/>
  <c r="BE21" i="7" s="1"/>
  <c r="BL21" i="7"/>
  <c r="BM21" i="7" s="1"/>
  <c r="BT20" i="7"/>
  <c r="BU20" i="7" s="1"/>
  <c r="GI26" i="7"/>
  <c r="GO26" i="7" s="1"/>
  <c r="GP26" i="7" s="1"/>
  <c r="GI27" i="7"/>
  <c r="GO27" i="7" s="1"/>
  <c r="GP27" i="7" s="1"/>
  <c r="GI28" i="7"/>
  <c r="GO28" i="7" s="1"/>
  <c r="GP28" i="7" s="1"/>
  <c r="GI29" i="7"/>
  <c r="GO29" i="7" s="1"/>
  <c r="GP29" i="7" s="1"/>
  <c r="GI24" i="7"/>
  <c r="GO24" i="7" s="1"/>
  <c r="GP24" i="7" s="1"/>
  <c r="IN20" i="7"/>
  <c r="IQ20" i="7" s="1"/>
  <c r="IN21" i="7"/>
  <c r="IQ21" i="7" s="1"/>
  <c r="IN17" i="7"/>
  <c r="IQ17" i="7" s="1"/>
  <c r="IN14" i="7"/>
  <c r="IQ14" i="7" s="1"/>
  <c r="IN15" i="7"/>
  <c r="IQ15" i="7" s="1"/>
  <c r="IN13" i="7"/>
  <c r="IQ13" i="7" s="1"/>
  <c r="IN11" i="7"/>
  <c r="IQ11" i="7" s="1"/>
  <c r="IN12" i="7"/>
  <c r="IQ12" i="7" s="1"/>
  <c r="IQ8" i="7"/>
  <c r="IH11" i="7"/>
  <c r="IG15" i="7"/>
  <c r="IF16" i="7"/>
  <c r="IJ16" i="7" s="1" a="1"/>
  <c r="IE18" i="7"/>
  <c r="IE13" i="7"/>
  <c r="IE14" i="7"/>
  <c r="IF11" i="7"/>
  <c r="II13" i="7"/>
  <c r="IE11" i="7"/>
  <c r="IF18" i="7"/>
  <c r="IJ18" i="7" s="1" a="1"/>
  <c r="II12" i="7"/>
  <c r="IF14" i="7"/>
  <c r="IH12" i="7"/>
  <c r="IG12" i="7"/>
  <c r="IG17" i="7"/>
  <c r="IF19" i="7"/>
  <c r="IH17" i="7"/>
  <c r="IE20" i="7"/>
  <c r="II19" i="7"/>
  <c r="IF12" i="7"/>
  <c r="IH19" i="7"/>
  <c r="IE12" i="7"/>
  <c r="II11" i="7"/>
  <c r="IG11" i="7"/>
  <c r="IE19" i="7"/>
  <c r="IG19" i="7"/>
  <c r="IF15" i="7"/>
  <c r="II14" i="7"/>
  <c r="IF10" i="7"/>
  <c r="IH16" i="7"/>
  <c r="IE16" i="7"/>
  <c r="IH10" i="7"/>
  <c r="IG14" i="7"/>
  <c r="IE10" i="7"/>
  <c r="IH15" i="7"/>
  <c r="II17" i="7"/>
  <c r="IE21" i="7"/>
  <c r="IG10" i="7"/>
  <c r="II15" i="7"/>
  <c r="II18" i="7"/>
  <c r="IG13" i="7"/>
  <c r="IF13" i="7"/>
  <c r="IH18" i="7"/>
  <c r="IG16" i="7"/>
  <c r="IF17" i="7"/>
  <c r="IE17" i="7"/>
  <c r="IH14" i="7"/>
  <c r="IG18" i="7"/>
  <c r="II16" i="7"/>
  <c r="IH13" i="7"/>
  <c r="IE15" i="7"/>
  <c r="BD19" i="7"/>
  <c r="BL19" i="7"/>
  <c r="T19" i="7"/>
  <c r="T20" i="7"/>
  <c r="BT19" i="7"/>
  <c r="CB19" i="7"/>
  <c r="T21" i="7"/>
  <c r="AG21" i="7"/>
  <c r="CO21" i="7" s="1"/>
  <c r="AA21" i="7"/>
  <c r="AS19" i="7"/>
  <c r="AG20" i="7"/>
  <c r="CO20" i="7" s="1"/>
  <c r="AM20" i="7"/>
  <c r="CP20" i="7" s="1"/>
  <c r="AM19" i="7"/>
  <c r="AA19" i="7"/>
  <c r="AG19" i="7"/>
  <c r="I19" i="7"/>
  <c r="I20" i="7"/>
  <c r="AA20" i="7"/>
  <c r="I21" i="7"/>
  <c r="IP21" i="7" s="1"/>
  <c r="IH20" i="7"/>
  <c r="IH21" i="7"/>
  <c r="IF21" i="7"/>
  <c r="IF20" i="7"/>
  <c r="II20" i="7"/>
  <c r="II21" i="7"/>
  <c r="IG21" i="7"/>
  <c r="IG20" i="7"/>
  <c r="BL18" i="7"/>
  <c r="T18" i="7"/>
  <c r="BD18" i="7"/>
  <c r="CB18" i="7"/>
  <c r="BT18" i="7"/>
  <c r="BT17" i="7"/>
  <c r="I18" i="7"/>
  <c r="AM18" i="7"/>
  <c r="CP18" i="7" s="1"/>
  <c r="II10" i="7"/>
  <c r="AG17" i="7"/>
  <c r="CO17" i="7" s="1"/>
  <c r="T17" i="7"/>
  <c r="AA18" i="7"/>
  <c r="BD17" i="7"/>
  <c r="AM17" i="7"/>
  <c r="CP17" i="7" s="1"/>
  <c r="AS18" i="7"/>
  <c r="CQ18" i="7" s="1"/>
  <c r="AG18" i="7"/>
  <c r="CO18" i="7" s="1"/>
  <c r="BL17" i="7"/>
  <c r="I17" i="7"/>
  <c r="IP17" i="7" s="1"/>
  <c r="T16" i="7"/>
  <c r="BD16" i="7"/>
  <c r="BL16" i="7"/>
  <c r="CB16" i="7"/>
  <c r="BT16" i="7"/>
  <c r="AS16" i="7"/>
  <c r="CQ16" i="7" s="1"/>
  <c r="AG16" i="7"/>
  <c r="CO16" i="7" s="1"/>
  <c r="I16" i="7"/>
  <c r="AA16" i="7"/>
  <c r="AM16" i="7"/>
  <c r="CP16" i="7" s="1"/>
  <c r="BD12" i="7"/>
  <c r="BD15" i="7"/>
  <c r="BL13" i="7"/>
  <c r="BD13" i="7"/>
  <c r="BD14" i="7"/>
  <c r="T15" i="7"/>
  <c r="T14" i="7"/>
  <c r="BT14" i="7"/>
  <c r="T13" i="7"/>
  <c r="BT13" i="7"/>
  <c r="BL14" i="7"/>
  <c r="BT15" i="7"/>
  <c r="BL15" i="7"/>
  <c r="AA14" i="7"/>
  <c r="AM13" i="7"/>
  <c r="CP13" i="7" s="1"/>
  <c r="AA15" i="7"/>
  <c r="AA13" i="7"/>
  <c r="I13" i="7"/>
  <c r="IP13" i="7" s="1"/>
  <c r="IP15" i="7"/>
  <c r="AG14" i="7"/>
  <c r="CO14" i="7" s="1"/>
  <c r="AG15" i="7"/>
  <c r="CO15" i="7" s="1"/>
  <c r="AM15" i="7"/>
  <c r="CP15" i="7" s="1"/>
  <c r="I14" i="7"/>
  <c r="IP14" i="7" s="1"/>
  <c r="AM14" i="7"/>
  <c r="CP14" i="7" s="1"/>
  <c r="AG13" i="7"/>
  <c r="CO13" i="7" s="1"/>
  <c r="BD10" i="7"/>
  <c r="BL10" i="7"/>
  <c r="BT10" i="7"/>
  <c r="BT12" i="7"/>
  <c r="T12" i="7"/>
  <c r="T11" i="7"/>
  <c r="BT11" i="7"/>
  <c r="BL11" i="7"/>
  <c r="T10" i="7"/>
  <c r="BL12" i="7"/>
  <c r="BD11" i="7"/>
  <c r="CB10" i="7"/>
  <c r="I10" i="7"/>
  <c r="AS10" i="7"/>
  <c r="CQ10" i="7" s="1"/>
  <c r="AG11" i="7"/>
  <c r="CO11" i="7" s="1"/>
  <c r="AA10" i="7"/>
  <c r="AM10" i="7"/>
  <c r="CP10" i="7" s="1"/>
  <c r="AG10" i="7"/>
  <c r="CO10" i="7" s="1"/>
  <c r="AA12" i="7"/>
  <c r="AM11" i="7"/>
  <c r="CP11" i="7" s="1"/>
  <c r="AM12" i="7"/>
  <c r="CP12" i="7" s="1"/>
  <c r="I12" i="7"/>
  <c r="IP12" i="7" s="1"/>
  <c r="AG12" i="7"/>
  <c r="CO12" i="7" s="1"/>
  <c r="I11" i="7"/>
  <c r="IP11" i="7" s="1"/>
  <c r="AA11" i="7"/>
  <c r="BL7" i="7"/>
  <c r="BD4" i="7"/>
  <c r="BL8" i="7"/>
  <c r="BD7" i="7"/>
  <c r="CB4" i="7"/>
  <c r="BT3" i="7"/>
  <c r="BT7" i="7"/>
  <c r="BL6" i="7"/>
  <c r="BD8" i="7"/>
  <c r="BL4" i="7"/>
  <c r="CB6" i="7"/>
  <c r="BL3" i="7"/>
  <c r="T9" i="7"/>
  <c r="BD6" i="7"/>
  <c r="CB7" i="7"/>
  <c r="BT6" i="7"/>
  <c r="BT8" i="7"/>
  <c r="CB3" i="7"/>
  <c r="CJ4" i="7"/>
  <c r="E6" i="2"/>
  <c r="BT4" i="7"/>
  <c r="CJ6" i="7"/>
  <c r="AM9" i="7"/>
  <c r="CP9" i="7" s="1"/>
  <c r="AS9" i="7"/>
  <c r="CQ9" i="7" s="1"/>
  <c r="AA9" i="7"/>
  <c r="I9" i="7"/>
  <c r="AY9" i="7"/>
  <c r="CR9" i="7" s="1"/>
  <c r="AG9" i="7"/>
  <c r="CO9" i="7" s="1"/>
  <c r="IH9" i="7"/>
  <c r="IE9" i="7"/>
  <c r="IG9" i="7"/>
  <c r="IF9" i="7"/>
  <c r="IJ9" i="7" s="1" a="1"/>
  <c r="II9" i="7"/>
  <c r="BD3" i="7"/>
  <c r="T2" i="7"/>
  <c r="U2" i="7" s="1"/>
  <c r="CB2" i="7"/>
  <c r="CJ2" i="7"/>
  <c r="T4" i="7"/>
  <c r="T6" i="7"/>
  <c r="U6" i="7" s="1"/>
  <c r="BT2" i="7"/>
  <c r="T3" i="7"/>
  <c r="U3" i="7" s="1"/>
  <c r="BL2" i="7"/>
  <c r="T7" i="7"/>
  <c r="U7" i="7" s="1"/>
  <c r="BD2" i="7"/>
  <c r="T8" i="7"/>
  <c r="AM2" i="7"/>
  <c r="CP2" i="7" s="1"/>
  <c r="AM8" i="7"/>
  <c r="CP8" i="7" s="1"/>
  <c r="AS6" i="7"/>
  <c r="CQ6" i="7" s="1"/>
  <c r="AG2" i="7"/>
  <c r="CO2" i="7" s="1"/>
  <c r="AG6" i="7"/>
  <c r="CO6" i="7" s="1"/>
  <c r="AA5" i="7"/>
  <c r="AG7" i="7"/>
  <c r="CO7" i="7" s="1"/>
  <c r="AY6" i="7"/>
  <c r="CR6" i="7" s="1"/>
  <c r="AM5" i="7"/>
  <c r="CP5" i="7" s="1"/>
  <c r="AM7" i="7"/>
  <c r="CP7" i="7" s="1"/>
  <c r="AM4" i="7"/>
  <c r="CP4" i="7" s="1"/>
  <c r="AG4" i="7"/>
  <c r="CO4" i="7" s="1"/>
  <c r="AM3" i="7"/>
  <c r="CP3" i="7" s="1"/>
  <c r="AS4" i="7"/>
  <c r="CQ4" i="7" s="1"/>
  <c r="AY2" i="7"/>
  <c r="CR2" i="7" s="1"/>
  <c r="AA4" i="7"/>
  <c r="AA3" i="7"/>
  <c r="AM6" i="7"/>
  <c r="CP6" i="7" s="1"/>
  <c r="AG3" i="7"/>
  <c r="CO3" i="7" s="1"/>
  <c r="AA7" i="7"/>
  <c r="AS3" i="7"/>
  <c r="CQ3" i="7" s="1"/>
  <c r="AA2" i="7"/>
  <c r="AG5" i="7"/>
  <c r="CO5" i="7" s="1"/>
  <c r="AA6" i="7"/>
  <c r="AS5" i="7"/>
  <c r="CQ5" i="7" s="1"/>
  <c r="AY4" i="7"/>
  <c r="CR4" i="7" s="1"/>
  <c r="AS2" i="7"/>
  <c r="CQ2" i="7" s="1"/>
  <c r="AG8" i="7"/>
  <c r="CO8" i="7" s="1"/>
  <c r="Q7" i="4"/>
  <c r="GG2" i="7"/>
  <c r="C7" i="4"/>
  <c r="E12" i="4"/>
  <c r="F6" i="4"/>
  <c r="G2" i="3"/>
  <c r="C6" i="4"/>
  <c r="C8" i="4" s="1"/>
  <c r="G6" i="4"/>
  <c r="J2" i="3"/>
  <c r="D6" i="4"/>
  <c r="F2" i="4"/>
  <c r="F4" i="4" s="1"/>
  <c r="D2" i="4"/>
  <c r="D4" i="4" s="1"/>
  <c r="I2" i="3"/>
  <c r="H2" i="3"/>
  <c r="E2" i="4"/>
  <c r="E4" i="4" s="1"/>
  <c r="E6" i="4"/>
  <c r="G2" i="4"/>
  <c r="G4" i="4" s="1"/>
  <c r="I3" i="3"/>
  <c r="J3" i="3"/>
  <c r="C4" i="4"/>
  <c r="G3" i="3"/>
  <c r="M3" i="4"/>
  <c r="M4" i="4" s="1"/>
  <c r="IJ23" i="7" l="1" a="1"/>
  <c r="IR22" i="7"/>
  <c r="IT22" i="7" s="1"/>
  <c r="IU22" i="7" s="1"/>
  <c r="IV22" i="7" s="1"/>
  <c r="E3" i="8"/>
  <c r="D3" i="8"/>
  <c r="U26" i="7"/>
  <c r="BG26" i="7"/>
  <c r="EG26" i="7" s="1"/>
  <c r="CE26" i="7"/>
  <c r="EJ26" i="7" s="1"/>
  <c r="BV26" i="7"/>
  <c r="CD26" i="7"/>
  <c r="BW26" i="7"/>
  <c r="EI26" i="7" s="1"/>
  <c r="BF26" i="7"/>
  <c r="BN26" i="7"/>
  <c r="BO26" i="7"/>
  <c r="EH26" i="7" s="1"/>
  <c r="N7" i="4"/>
  <c r="N8" i="4" s="1"/>
  <c r="IJ23" i="7"/>
  <c r="IK23" i="7"/>
  <c r="J22" i="7"/>
  <c r="CN22" i="7"/>
  <c r="CX22" i="7" s="1" a="1"/>
  <c r="Q3" i="4"/>
  <c r="Q4" i="4" s="1"/>
  <c r="X33" i="7"/>
  <c r="CN23" i="7"/>
  <c r="CX23" i="7" s="1" a="1"/>
  <c r="J23" i="7"/>
  <c r="B6" i="8"/>
  <c r="B7" i="8" s="1"/>
  <c r="U24" i="7"/>
  <c r="BV24" i="7"/>
  <c r="BG24" i="7"/>
  <c r="EG24" i="7" s="1"/>
  <c r="CE24" i="7"/>
  <c r="EJ24" i="7" s="1"/>
  <c r="BF24" i="7"/>
  <c r="BW24" i="7"/>
  <c r="EI24" i="7" s="1"/>
  <c r="CD24" i="7"/>
  <c r="BN24" i="7"/>
  <c r="BO24" i="7"/>
  <c r="EH24" i="7" s="1"/>
  <c r="CC23" i="7"/>
  <c r="CE23" i="7" s="1"/>
  <c r="EJ23" i="7" s="1"/>
  <c r="CD23" i="7"/>
  <c r="IJ19" i="7" a="1"/>
  <c r="IK19" i="7" s="1"/>
  <c r="IO19" i="7" s="1"/>
  <c r="IP19" i="7" s="1"/>
  <c r="BM23" i="7"/>
  <c r="BO23" i="7" s="1"/>
  <c r="EH23" i="7" s="1"/>
  <c r="BN23" i="7"/>
  <c r="BU22" i="7"/>
  <c r="BW22" i="7" s="1"/>
  <c r="EI22" i="7" s="1"/>
  <c r="BV22" i="7"/>
  <c r="IP24" i="7"/>
  <c r="IR24" i="7" s="1"/>
  <c r="IT24" i="7" s="1"/>
  <c r="IU24" i="7" s="1"/>
  <c r="IV24" i="7" s="1"/>
  <c r="CE28" i="7"/>
  <c r="EJ28" i="7" s="1"/>
  <c r="BN28" i="7"/>
  <c r="U28" i="7"/>
  <c r="BF28" i="7"/>
  <c r="CD28" i="7"/>
  <c r="BO28" i="7"/>
  <c r="EH28" i="7" s="1"/>
  <c r="BV28" i="7"/>
  <c r="BG28" i="7"/>
  <c r="EG28" i="7" s="1"/>
  <c r="BW28" i="7"/>
  <c r="EI28" i="7" s="1"/>
  <c r="BE22" i="7"/>
  <c r="BG22" i="7" s="1"/>
  <c r="EG22" i="7" s="1"/>
  <c r="BF22" i="7"/>
  <c r="BE23" i="7"/>
  <c r="BG23" i="7" s="1"/>
  <c r="EG23" i="7" s="1"/>
  <c r="BF23" i="7"/>
  <c r="CL22" i="7"/>
  <c r="U22" i="7"/>
  <c r="CM22" i="7"/>
  <c r="EK22" i="7" s="1"/>
  <c r="CE22" i="7"/>
  <c r="EJ22" i="7" s="1"/>
  <c r="CD22" i="7"/>
  <c r="U27" i="7"/>
  <c r="BG27" i="7"/>
  <c r="EG27" i="7" s="1"/>
  <c r="BV27" i="7"/>
  <c r="CD27" i="7"/>
  <c r="BW27" i="7"/>
  <c r="EI27" i="7" s="1"/>
  <c r="CE27" i="7"/>
  <c r="EJ27" i="7" s="1"/>
  <c r="BO27" i="7"/>
  <c r="EH27" i="7" s="1"/>
  <c r="BF27" i="7"/>
  <c r="BN27" i="7"/>
  <c r="BM22" i="7"/>
  <c r="BO22" i="7" s="1"/>
  <c r="EH22" i="7" s="1"/>
  <c r="BN22" i="7"/>
  <c r="BU23" i="7"/>
  <c r="BW23" i="7" s="1"/>
  <c r="EI23" i="7" s="1"/>
  <c r="BV23" i="7"/>
  <c r="N3" i="4"/>
  <c r="N4" i="4" s="1"/>
  <c r="U29" i="7"/>
  <c r="BW29" i="7"/>
  <c r="EI29" i="7" s="1"/>
  <c r="CD29" i="7"/>
  <c r="BO29" i="7"/>
  <c r="EH29" i="7" s="1"/>
  <c r="BV29" i="7"/>
  <c r="BN29" i="7"/>
  <c r="CE29" i="7"/>
  <c r="EJ29" i="7" s="1"/>
  <c r="BF29" i="7"/>
  <c r="BG29" i="7"/>
  <c r="EG29" i="7" s="1"/>
  <c r="CK2" i="7"/>
  <c r="CM2" i="7" s="1"/>
  <c r="EK2" i="7" s="1"/>
  <c r="CL2" i="7"/>
  <c r="BF16" i="7"/>
  <c r="BE16" i="7"/>
  <c r="BG16" i="7" s="1"/>
  <c r="EG16" i="7" s="1"/>
  <c r="IJ16" i="7"/>
  <c r="IK16" i="7"/>
  <c r="P7" i="4"/>
  <c r="P8" i="4" s="1"/>
  <c r="M7" i="4"/>
  <c r="M8" i="4" s="1"/>
  <c r="CD2" i="7"/>
  <c r="CC2" i="7"/>
  <c r="CE2" i="7" s="1"/>
  <c r="EJ2" i="7" s="1"/>
  <c r="BU4" i="7"/>
  <c r="BW4" i="7" s="1"/>
  <c r="EI4" i="7" s="1"/>
  <c r="BV4" i="7"/>
  <c r="CC4" i="7"/>
  <c r="CE4" i="7" s="1"/>
  <c r="EJ4" i="7" s="1"/>
  <c r="CD4" i="7"/>
  <c r="U14" i="7"/>
  <c r="CM14" i="7"/>
  <c r="EK14" i="7" s="1"/>
  <c r="CD14" i="7"/>
  <c r="CL14" i="7"/>
  <c r="CE14" i="7"/>
  <c r="EJ14" i="7" s="1"/>
  <c r="CL16" i="7"/>
  <c r="U16" i="7"/>
  <c r="CM16" i="7"/>
  <c r="EK16" i="7" s="1"/>
  <c r="CC18" i="7"/>
  <c r="CE18" i="7" s="1"/>
  <c r="EJ18" i="7" s="1"/>
  <c r="CD18" i="7"/>
  <c r="CO19" i="7"/>
  <c r="C6" i="8"/>
  <c r="C7" i="8" s="1"/>
  <c r="BE19" i="7"/>
  <c r="BG19" i="7" s="1"/>
  <c r="BF19" i="7"/>
  <c r="BU14" i="7"/>
  <c r="BW14" i="7" s="1"/>
  <c r="EI14" i="7" s="1"/>
  <c r="BV14" i="7"/>
  <c r="I4" i="7"/>
  <c r="CN4" i="7"/>
  <c r="CX4" i="7" s="1" a="1"/>
  <c r="BF7" i="7"/>
  <c r="BE7" i="7"/>
  <c r="BG7" i="7" s="1"/>
  <c r="EG7" i="7" s="1"/>
  <c r="CE15" i="7"/>
  <c r="EJ15" i="7" s="1"/>
  <c r="CL15" i="7"/>
  <c r="U15" i="7"/>
  <c r="CD15" i="7"/>
  <c r="CM15" i="7"/>
  <c r="EK15" i="7" s="1"/>
  <c r="BE18" i="7"/>
  <c r="BG18" i="7" s="1"/>
  <c r="EG18" i="7" s="1"/>
  <c r="BF18" i="7"/>
  <c r="CN19" i="7"/>
  <c r="J19" i="7"/>
  <c r="U4" i="7"/>
  <c r="CL7" i="7"/>
  <c r="BW5" i="7"/>
  <c r="CM7" i="7"/>
  <c r="EK7" i="7" s="1"/>
  <c r="CL8" i="7"/>
  <c r="CM8" i="7"/>
  <c r="EK8" i="7" s="1"/>
  <c r="BN5" i="7"/>
  <c r="CM5" i="7"/>
  <c r="CL5" i="7"/>
  <c r="CN10" i="7"/>
  <c r="CX10" i="7" s="1" a="1"/>
  <c r="J10" i="7"/>
  <c r="BM16" i="7"/>
  <c r="BO16" i="7" s="1"/>
  <c r="EH16" i="7" s="1"/>
  <c r="BN16" i="7"/>
  <c r="IP20" i="7"/>
  <c r="IR20" i="7" s="1"/>
  <c r="IT20" i="7" s="1"/>
  <c r="IU20" i="7" s="1"/>
  <c r="IV20" i="7" s="1"/>
  <c r="J8" i="7"/>
  <c r="CN8" i="7"/>
  <c r="CX8" i="7" s="1" a="1"/>
  <c r="I8" i="7"/>
  <c r="IP8" i="7" s="1"/>
  <c r="IR8" i="7" s="1"/>
  <c r="IT8" i="7" s="1"/>
  <c r="IU8" i="7" s="1"/>
  <c r="IV8" i="7" s="1"/>
  <c r="BF3" i="7"/>
  <c r="BE3" i="7"/>
  <c r="BG3" i="7" s="1"/>
  <c r="EG3" i="7" s="1"/>
  <c r="CK4" i="7"/>
  <c r="CM4" i="7" s="1"/>
  <c r="EK4" i="7" s="1"/>
  <c r="CL4" i="7"/>
  <c r="BN8" i="7"/>
  <c r="BM8" i="7"/>
  <c r="BO8" i="7" s="1"/>
  <c r="EH8" i="7" s="1"/>
  <c r="CC10" i="7"/>
  <c r="CE10" i="7" s="1"/>
  <c r="EJ10" i="7" s="1"/>
  <c r="CD10" i="7"/>
  <c r="BE14" i="7"/>
  <c r="BG14" i="7" s="1"/>
  <c r="EG14" i="7" s="1"/>
  <c r="BF14" i="7"/>
  <c r="BM17" i="7"/>
  <c r="BO17" i="7" s="1"/>
  <c r="EH17" i="7" s="1"/>
  <c r="BN17" i="7"/>
  <c r="U18" i="7"/>
  <c r="CL18" i="7"/>
  <c r="CM18" i="7"/>
  <c r="EK18" i="7" s="1"/>
  <c r="CP19" i="7"/>
  <c r="D6" i="8"/>
  <c r="D7" i="8" s="1"/>
  <c r="CC3" i="7"/>
  <c r="CE3" i="7" s="1"/>
  <c r="EJ3" i="7" s="1"/>
  <c r="CD3" i="7"/>
  <c r="BE4" i="7"/>
  <c r="BG4" i="7" s="1"/>
  <c r="EG4" i="7" s="1"/>
  <c r="BF4" i="7"/>
  <c r="BE11" i="7"/>
  <c r="BG11" i="7" s="1"/>
  <c r="EG11" i="7" s="1"/>
  <c r="BF11" i="7"/>
  <c r="BF13" i="7"/>
  <c r="BE13" i="7"/>
  <c r="BG13" i="7" s="1"/>
  <c r="EG13" i="7" s="1"/>
  <c r="BM18" i="7"/>
  <c r="BO18" i="7" s="1"/>
  <c r="EH18" i="7" s="1"/>
  <c r="BN18" i="7"/>
  <c r="BU3" i="7"/>
  <c r="BW3" i="7" s="1"/>
  <c r="EI3" i="7" s="1"/>
  <c r="BV3" i="7"/>
  <c r="BE2" i="7"/>
  <c r="BG2" i="7" s="1"/>
  <c r="EG2" i="7" s="1"/>
  <c r="BF2" i="7"/>
  <c r="BU8" i="7"/>
  <c r="BW8" i="7" s="1"/>
  <c r="EI8" i="7" s="1"/>
  <c r="BV8" i="7"/>
  <c r="BN7" i="7"/>
  <c r="BM7" i="7"/>
  <c r="BO7" i="7" s="1"/>
  <c r="EH7" i="7" s="1"/>
  <c r="BM12" i="7"/>
  <c r="BO12" i="7" s="1"/>
  <c r="EH12" i="7" s="1"/>
  <c r="BN12" i="7"/>
  <c r="BM13" i="7"/>
  <c r="BO13" i="7" s="1"/>
  <c r="EH13" i="7" s="1"/>
  <c r="BN13" i="7"/>
  <c r="IR12" i="7"/>
  <c r="IT12" i="7" s="1"/>
  <c r="IU12" i="7" s="1"/>
  <c r="IV12" i="7" s="1"/>
  <c r="IK9" i="7"/>
  <c r="IJ9" i="7"/>
  <c r="BV6" i="7"/>
  <c r="BU6" i="7"/>
  <c r="BW6" i="7" s="1"/>
  <c r="EI6" i="7" s="1"/>
  <c r="CN11" i="7"/>
  <c r="CX11" i="7" s="1" a="1"/>
  <c r="J11" i="7"/>
  <c r="CL10" i="7"/>
  <c r="CM10" i="7"/>
  <c r="EK10" i="7" s="1"/>
  <c r="U10" i="7"/>
  <c r="BE15" i="7"/>
  <c r="BG15" i="7" s="1"/>
  <c r="EG15" i="7" s="1"/>
  <c r="BF15" i="7"/>
  <c r="CQ19" i="7"/>
  <c r="E6" i="8"/>
  <c r="E7" i="8" s="1"/>
  <c r="IJ10" i="7" a="1"/>
  <c r="IR11" i="7"/>
  <c r="IT11" i="7" s="1"/>
  <c r="IU11" i="7" s="1"/>
  <c r="IV11" i="7" s="1"/>
  <c r="I3" i="7"/>
  <c r="CN3" i="7"/>
  <c r="CX3" i="7" s="1" a="1"/>
  <c r="BN2" i="7"/>
  <c r="BM2" i="7"/>
  <c r="BO2" i="7" s="1"/>
  <c r="EH2" i="7" s="1"/>
  <c r="CC7" i="7"/>
  <c r="CE7" i="7" s="1"/>
  <c r="EJ7" i="7" s="1"/>
  <c r="CD7" i="7"/>
  <c r="BN11" i="7"/>
  <c r="BM11" i="7"/>
  <c r="BO11" i="7" s="1"/>
  <c r="EH11" i="7" s="1"/>
  <c r="CN13" i="7"/>
  <c r="CX13" i="7" s="1" a="1"/>
  <c r="J13" i="7"/>
  <c r="BE12" i="7"/>
  <c r="BG12" i="7" s="1"/>
  <c r="EG12" i="7" s="1"/>
  <c r="BF12" i="7"/>
  <c r="BF17" i="7"/>
  <c r="BE17" i="7"/>
  <c r="BG17" i="7" s="1"/>
  <c r="EG17" i="7" s="1"/>
  <c r="CN21" i="7"/>
  <c r="CX21" i="7" s="1" a="1"/>
  <c r="J21" i="7"/>
  <c r="IR13" i="7"/>
  <c r="IT13" i="7" s="1"/>
  <c r="IU13" i="7" s="1"/>
  <c r="IV13" i="7" s="1"/>
  <c r="U13" i="7"/>
  <c r="CL13" i="7"/>
  <c r="CD13" i="7"/>
  <c r="CM13" i="7"/>
  <c r="EK13" i="7" s="1"/>
  <c r="CE13" i="7"/>
  <c r="EJ13" i="7" s="1"/>
  <c r="CL6" i="7"/>
  <c r="CK6" i="7"/>
  <c r="CM6" i="7" s="1"/>
  <c r="EK6" i="7" s="1"/>
  <c r="D8" i="4"/>
  <c r="I6" i="7"/>
  <c r="CN6" i="7"/>
  <c r="CX6" i="7" s="1" a="1"/>
  <c r="BF6" i="7"/>
  <c r="BE6" i="7"/>
  <c r="BG6" i="7" s="1"/>
  <c r="EG6" i="7" s="1"/>
  <c r="BV11" i="7"/>
  <c r="BU11" i="7"/>
  <c r="BW11" i="7" s="1"/>
  <c r="EI11" i="7" s="1"/>
  <c r="CN15" i="7"/>
  <c r="CX15" i="7" s="1" a="1"/>
  <c r="CN18" i="7"/>
  <c r="CX18" i="7" s="1" a="1"/>
  <c r="J18" i="7"/>
  <c r="IR15" i="7"/>
  <c r="IT15" i="7" s="1"/>
  <c r="IU15" i="7" s="1"/>
  <c r="IV15" i="7" s="1"/>
  <c r="BV7" i="7"/>
  <c r="BU7" i="7"/>
  <c r="BW7" i="7" s="1"/>
  <c r="EI7" i="7" s="1"/>
  <c r="BV9" i="7"/>
  <c r="BN9" i="7"/>
  <c r="CL9" i="7"/>
  <c r="U9" i="7"/>
  <c r="BF9" i="7"/>
  <c r="BG9" i="7"/>
  <c r="EG9" i="7" s="1"/>
  <c r="CD9" i="7"/>
  <c r="BW9" i="7"/>
  <c r="EI9" i="7" s="1"/>
  <c r="BO9" i="7"/>
  <c r="EH9" i="7" s="1"/>
  <c r="CM9" i="7"/>
  <c r="EK9" i="7" s="1"/>
  <c r="CE9" i="7"/>
  <c r="EJ9" i="7" s="1"/>
  <c r="U11" i="7"/>
  <c r="CD11" i="7"/>
  <c r="CL11" i="7"/>
  <c r="CE11" i="7"/>
  <c r="EJ11" i="7" s="1"/>
  <c r="CM11" i="7"/>
  <c r="EK11" i="7" s="1"/>
  <c r="CN16" i="7"/>
  <c r="CX16" i="7" s="1" a="1"/>
  <c r="J16" i="7"/>
  <c r="U17" i="7"/>
  <c r="CL17" i="7"/>
  <c r="CD17" i="7"/>
  <c r="CE17" i="7"/>
  <c r="EJ17" i="7" s="1"/>
  <c r="CM17" i="7"/>
  <c r="EK17" i="7" s="1"/>
  <c r="BF21" i="7"/>
  <c r="BN21" i="7"/>
  <c r="CL21" i="7"/>
  <c r="CM21" i="7"/>
  <c r="EK21" i="7" s="1"/>
  <c r="CE21" i="7"/>
  <c r="EJ21" i="7" s="1"/>
  <c r="BW21" i="7"/>
  <c r="EI21" i="7" s="1"/>
  <c r="U21" i="7"/>
  <c r="CD21" i="7"/>
  <c r="BV21" i="7"/>
  <c r="BO21" i="7"/>
  <c r="EH21" i="7" s="1"/>
  <c r="BG21" i="7"/>
  <c r="EG21" i="7" s="1"/>
  <c r="IK18" i="7"/>
  <c r="IJ18" i="7"/>
  <c r="IR14" i="7"/>
  <c r="IT14" i="7" s="1"/>
  <c r="IU14" i="7" s="1"/>
  <c r="IV14" i="7" s="1"/>
  <c r="U8" i="7"/>
  <c r="CE8" i="7"/>
  <c r="EJ8" i="7" s="1"/>
  <c r="CD8" i="7"/>
  <c r="CN2" i="7"/>
  <c r="CX2" i="7" s="1" a="1"/>
  <c r="I2" i="7"/>
  <c r="BV2" i="7"/>
  <c r="BU2" i="7"/>
  <c r="BW2" i="7" s="1"/>
  <c r="EI2" i="7" s="1"/>
  <c r="BN3" i="7"/>
  <c r="BM3" i="7"/>
  <c r="BO3" i="7" s="1"/>
  <c r="EH3" i="7" s="1"/>
  <c r="CD12" i="7"/>
  <c r="CL12" i="7"/>
  <c r="CM12" i="7"/>
  <c r="EK12" i="7" s="1"/>
  <c r="CE12" i="7"/>
  <c r="EJ12" i="7" s="1"/>
  <c r="U12" i="7"/>
  <c r="CN14" i="7"/>
  <c r="CX14" i="7" s="1" a="1"/>
  <c r="J14" i="7"/>
  <c r="CC19" i="7"/>
  <c r="CE19" i="7" s="1"/>
  <c r="CD19" i="7"/>
  <c r="IR17" i="7"/>
  <c r="IT17" i="7" s="1"/>
  <c r="IU17" i="7" s="1"/>
  <c r="IV17" i="7" s="1"/>
  <c r="CC6" i="7"/>
  <c r="CE6" i="7" s="1"/>
  <c r="EJ6" i="7" s="1"/>
  <c r="CD6" i="7"/>
  <c r="BU12" i="7"/>
  <c r="BW12" i="7" s="1"/>
  <c r="EI12" i="7" s="1"/>
  <c r="BV12" i="7"/>
  <c r="BN15" i="7"/>
  <c r="BM15" i="7"/>
  <c r="BO15" i="7" s="1"/>
  <c r="EH15" i="7" s="1"/>
  <c r="BU19" i="7"/>
  <c r="BW19" i="7" s="1"/>
  <c r="BV19" i="7"/>
  <c r="IR21" i="7"/>
  <c r="IT21" i="7" s="1"/>
  <c r="IU21" i="7" s="1"/>
  <c r="IV21" i="7" s="1"/>
  <c r="I7" i="7"/>
  <c r="CN7" i="7"/>
  <c r="FQ9" i="7"/>
  <c r="FT9" i="7"/>
  <c r="GA9" i="7"/>
  <c r="FN9" i="7"/>
  <c r="FL9" i="7"/>
  <c r="FP9" i="7"/>
  <c r="FW9" i="7"/>
  <c r="FK9" i="7"/>
  <c r="GC9" i="7" s="1" a="1"/>
  <c r="FS9" i="7"/>
  <c r="FO9" i="7"/>
  <c r="FX9" i="7"/>
  <c r="FV9" i="7"/>
  <c r="FY9" i="7"/>
  <c r="FU9" i="7"/>
  <c r="FZ9" i="7"/>
  <c r="FM9" i="7"/>
  <c r="FR9" i="7"/>
  <c r="GB9" i="7"/>
  <c r="BN4" i="7"/>
  <c r="BM4" i="7"/>
  <c r="BO4" i="7" s="1"/>
  <c r="EH4" i="7" s="1"/>
  <c r="J12" i="7"/>
  <c r="CN12" i="7"/>
  <c r="CX12" i="7" s="1" a="1"/>
  <c r="BU10" i="7"/>
  <c r="BW10" i="7" s="1"/>
  <c r="EI10" i="7" s="1"/>
  <c r="BV10" i="7"/>
  <c r="BV15" i="7"/>
  <c r="BU15" i="7"/>
  <c r="BW15" i="7" s="1"/>
  <c r="EI15" i="7" s="1"/>
  <c r="CL20" i="7"/>
  <c r="BN20" i="7"/>
  <c r="U20" i="7"/>
  <c r="BG20" i="7"/>
  <c r="EG20" i="7" s="1"/>
  <c r="CD20" i="7"/>
  <c r="CM20" i="7"/>
  <c r="EK20" i="7" s="1"/>
  <c r="BF20" i="7"/>
  <c r="BV20" i="7"/>
  <c r="BW20" i="7"/>
  <c r="EI20" i="7" s="1"/>
  <c r="CE20" i="7"/>
  <c r="EJ20" i="7" s="1"/>
  <c r="BO20" i="7"/>
  <c r="EH20" i="7" s="1"/>
  <c r="BV17" i="7"/>
  <c r="BU17" i="7"/>
  <c r="BW17" i="7" s="1"/>
  <c r="EI17" i="7" s="1"/>
  <c r="BU18" i="7"/>
  <c r="BW18" i="7" s="1"/>
  <c r="EI18" i="7" s="1"/>
  <c r="BV18" i="7"/>
  <c r="J9" i="7"/>
  <c r="CN9" i="7"/>
  <c r="CX9" i="7" s="1" a="1"/>
  <c r="BE8" i="7"/>
  <c r="BG8" i="7" s="1"/>
  <c r="EG8" i="7" s="1"/>
  <c r="BF8" i="7"/>
  <c r="BN10" i="7"/>
  <c r="BM10" i="7"/>
  <c r="BO10" i="7" s="1"/>
  <c r="EH10" i="7" s="1"/>
  <c r="BM14" i="7"/>
  <c r="BO14" i="7" s="1"/>
  <c r="EH14" i="7" s="1"/>
  <c r="EQ14" i="7" s="1" a="1"/>
  <c r="BN14" i="7"/>
  <c r="BU16" i="7"/>
  <c r="BW16" i="7" s="1"/>
  <c r="EI16" i="7" s="1"/>
  <c r="BV16" i="7"/>
  <c r="CN17" i="7"/>
  <c r="CX17" i="7" s="1" a="1"/>
  <c r="J17" i="7"/>
  <c r="CM19" i="7"/>
  <c r="EK19" i="7" s="1"/>
  <c r="U19" i="7"/>
  <c r="CL19" i="7"/>
  <c r="I5" i="7"/>
  <c r="CN5" i="7"/>
  <c r="CX5" i="7" s="1" a="1"/>
  <c r="BM6" i="7"/>
  <c r="BO6" i="7" s="1"/>
  <c r="EH6" i="7" s="1"/>
  <c r="BN6" i="7"/>
  <c r="BE10" i="7"/>
  <c r="BG10" i="7" s="1"/>
  <c r="EG10" i="7" s="1"/>
  <c r="EQ10" i="7" s="1" a="1"/>
  <c r="BF10" i="7"/>
  <c r="BU13" i="7"/>
  <c r="BW13" i="7" s="1"/>
  <c r="EI13" i="7" s="1"/>
  <c r="BV13" i="7"/>
  <c r="CC16" i="7"/>
  <c r="CE16" i="7" s="1"/>
  <c r="EJ16" i="7" s="1"/>
  <c r="CD16" i="7"/>
  <c r="CN20" i="7"/>
  <c r="CX20" i="7" s="1" a="1"/>
  <c r="J20" i="7"/>
  <c r="BM19" i="7"/>
  <c r="BO19" i="7" s="1"/>
  <c r="BN19" i="7"/>
  <c r="F8" i="4"/>
  <c r="Q8" i="4"/>
  <c r="E8" i="4"/>
  <c r="G8" i="4"/>
  <c r="C11" i="4"/>
  <c r="C12" i="4" s="1"/>
  <c r="D12" i="4"/>
  <c r="F12" i="4"/>
  <c r="H3" i="3"/>
  <c r="P3" i="4"/>
  <c r="P4" i="4" s="1"/>
  <c r="O3" i="4"/>
  <c r="O4" i="4" s="1"/>
  <c r="EQ20" i="7" l="1" a="1"/>
  <c r="EQ20" i="7" s="1"/>
  <c r="EQ21" i="7" a="1"/>
  <c r="EQ21" i="7" s="1"/>
  <c r="EQ24" i="7" a="1"/>
  <c r="EQ24" i="7" s="1"/>
  <c r="EQ26" i="7" a="1"/>
  <c r="ER26" i="7" s="1"/>
  <c r="EQ27" i="7" a="1"/>
  <c r="ER27" i="7" s="1"/>
  <c r="CY23" i="7"/>
  <c r="CX23" i="7"/>
  <c r="IL23" i="7"/>
  <c r="IM23" i="7" s="1"/>
  <c r="IN23" i="7" s="1"/>
  <c r="IQ23" i="7" s="1"/>
  <c r="IO23" i="7"/>
  <c r="IP23" i="7" s="1"/>
  <c r="EQ15" i="7" a="1"/>
  <c r="ER15" i="7" s="1"/>
  <c r="CX22" i="7"/>
  <c r="CY22" i="7"/>
  <c r="EQ4" i="7" a="1"/>
  <c r="ER4" i="7" s="1"/>
  <c r="EQ8" i="7" a="1"/>
  <c r="EQ8" i="7" s="1"/>
  <c r="IJ19" i="7"/>
  <c r="IL19" i="7" s="1"/>
  <c r="IM19" i="7" s="1"/>
  <c r="IN19" i="7" s="1"/>
  <c r="IQ19" i="7" s="1"/>
  <c r="IR19" i="7" s="1"/>
  <c r="IT19" i="7" s="1"/>
  <c r="IU19" i="7" s="1"/>
  <c r="IV19" i="7" s="1"/>
  <c r="EQ23" i="7" a="1"/>
  <c r="EQ22" i="7" a="1"/>
  <c r="CY16" i="7"/>
  <c r="CX16" i="7"/>
  <c r="CX20" i="7"/>
  <c r="CY20" i="7"/>
  <c r="CX17" i="7"/>
  <c r="CY17" i="7"/>
  <c r="CX12" i="7"/>
  <c r="CY12" i="7"/>
  <c r="EI19" i="7"/>
  <c r="D11" i="8"/>
  <c r="D12" i="8" s="1"/>
  <c r="EQ14" i="7"/>
  <c r="ER14" i="7"/>
  <c r="CY11" i="7"/>
  <c r="CX11" i="7"/>
  <c r="EQ7" i="7" a="1"/>
  <c r="CY18" i="7"/>
  <c r="CX18" i="7"/>
  <c r="EQ3" i="7" a="1"/>
  <c r="CY4" i="7"/>
  <c r="CX4" i="7"/>
  <c r="CX15" i="7"/>
  <c r="CY15" i="7"/>
  <c r="IL18" i="7"/>
  <c r="IM18" i="7" s="1"/>
  <c r="IN18" i="7" s="1"/>
  <c r="IQ18" i="7" s="1"/>
  <c r="IO18" i="7"/>
  <c r="IP18" i="7" s="1"/>
  <c r="CY21" i="7"/>
  <c r="CX21" i="7"/>
  <c r="CY3" i="7"/>
  <c r="CX3" i="7"/>
  <c r="IL9" i="7"/>
  <c r="IM9" i="7" s="1"/>
  <c r="IN9" i="7" s="1"/>
  <c r="IQ9" i="7" s="1"/>
  <c r="IO9" i="7"/>
  <c r="IP9" i="7" s="1"/>
  <c r="CX8" i="7"/>
  <c r="CY8" i="7"/>
  <c r="GD9" i="7"/>
  <c r="GC9" i="7"/>
  <c r="CX5" i="7"/>
  <c r="CY5" i="7"/>
  <c r="CX9" i="7"/>
  <c r="CY9" i="7"/>
  <c r="FP2" i="7"/>
  <c r="FW2" i="7"/>
  <c r="FM2" i="7"/>
  <c r="FO2" i="7"/>
  <c r="GB2" i="7"/>
  <c r="FN2" i="7"/>
  <c r="FT2" i="7"/>
  <c r="FX2" i="7"/>
  <c r="FL2" i="7"/>
  <c r="FY2" i="7"/>
  <c r="FR2" i="7"/>
  <c r="FV2" i="7"/>
  <c r="GA2" i="7"/>
  <c r="FS2" i="7"/>
  <c r="FK2" i="7"/>
  <c r="FU2" i="7"/>
  <c r="FZ2" i="7"/>
  <c r="FQ2" i="7"/>
  <c r="EQ17" i="7" a="1"/>
  <c r="X4" i="3"/>
  <c r="Y4" i="3"/>
  <c r="W4" i="3"/>
  <c r="IL16" i="7"/>
  <c r="IM16" i="7" s="1"/>
  <c r="IN16" i="7" s="1"/>
  <c r="IQ16" i="7" s="1"/>
  <c r="IO16" i="7"/>
  <c r="IP16" i="7" s="1"/>
  <c r="CY2" i="7"/>
  <c r="CX2" i="7"/>
  <c r="EQ6" i="7" a="1"/>
  <c r="GE9" i="7"/>
  <c r="GF9" i="7" s="1"/>
  <c r="GG9" i="7" s="1"/>
  <c r="GH9" i="7" s="1"/>
  <c r="IJ10" i="7"/>
  <c r="IK10" i="7"/>
  <c r="EQ16" i="7" a="1"/>
  <c r="CX6" i="7"/>
  <c r="CY6" i="7"/>
  <c r="EQ12" i="7" a="1"/>
  <c r="CX19" i="7" a="1"/>
  <c r="EJ19" i="7"/>
  <c r="E11" i="8"/>
  <c r="E12" i="8" s="1"/>
  <c r="EQ13" i="7" a="1"/>
  <c r="DQ7" i="7"/>
  <c r="EA7" i="7"/>
  <c r="DW7" i="7"/>
  <c r="DZ7" i="7"/>
  <c r="DS7" i="7"/>
  <c r="DP7" i="7"/>
  <c r="DO7" i="7"/>
  <c r="DT7" i="7"/>
  <c r="DX7" i="7"/>
  <c r="DN7" i="7"/>
  <c r="EB7" i="7" s="1" a="1"/>
  <c r="DU7" i="7"/>
  <c r="DV7" i="7"/>
  <c r="DY7" i="7"/>
  <c r="DR7" i="7"/>
  <c r="CX13" i="7"/>
  <c r="CY13" i="7"/>
  <c r="EQ18" i="7" a="1"/>
  <c r="ER10" i="7"/>
  <c r="EQ10" i="7"/>
  <c r="CY14" i="7"/>
  <c r="CX14" i="7"/>
  <c r="EQ11" i="7" a="1"/>
  <c r="EG19" i="7"/>
  <c r="B11" i="8"/>
  <c r="B12" i="8" s="1"/>
  <c r="EH19" i="7"/>
  <c r="C11" i="8"/>
  <c r="C12" i="8" s="1"/>
  <c r="CX10" i="7"/>
  <c r="CY10" i="7"/>
  <c r="O7" i="4"/>
  <c r="O8" i="4" s="1"/>
  <c r="ER20" i="7" l="1"/>
  <c r="IR23" i="7"/>
  <c r="IT23" i="7" s="1"/>
  <c r="IU23" i="7" s="1"/>
  <c r="IV23" i="7" s="1"/>
  <c r="EQ15" i="7"/>
  <c r="ER8" i="7"/>
  <c r="IR16" i="7"/>
  <c r="IT16" i="7" s="1"/>
  <c r="IU16" i="7" s="1"/>
  <c r="IV16" i="7" s="1"/>
  <c r="IR9" i="7"/>
  <c r="IT9" i="7" s="1"/>
  <c r="IU9" i="7" s="1"/>
  <c r="IV9" i="7" s="1"/>
  <c r="ER21" i="7"/>
  <c r="ER24" i="7"/>
  <c r="FW24" i="7" s="1"/>
  <c r="EQ4" i="7"/>
  <c r="EQ26" i="7"/>
  <c r="FR26" i="7" s="1"/>
  <c r="EQ27" i="7"/>
  <c r="GA27" i="7" s="1"/>
  <c r="FK27" i="7"/>
  <c r="FR27" i="7"/>
  <c r="FP27" i="7"/>
  <c r="FQ27" i="7"/>
  <c r="FN27" i="7"/>
  <c r="FX24" i="7"/>
  <c r="GB24" i="7"/>
  <c r="FK24" i="7"/>
  <c r="DR4" i="7"/>
  <c r="DT22" i="7"/>
  <c r="DZ22" i="7"/>
  <c r="DN22" i="7"/>
  <c r="DO22" i="7"/>
  <c r="DP22" i="7"/>
  <c r="EA22" i="7"/>
  <c r="DY22" i="7"/>
  <c r="DQ22" i="7"/>
  <c r="DV22" i="7"/>
  <c r="DW22" i="7"/>
  <c r="DX22" i="7"/>
  <c r="DR22" i="7"/>
  <c r="DS22" i="7"/>
  <c r="FZ20" i="7"/>
  <c r="GB20" i="7"/>
  <c r="FM20" i="7"/>
  <c r="FL20" i="7"/>
  <c r="GA20" i="7"/>
  <c r="FT20" i="7"/>
  <c r="FY20" i="7"/>
  <c r="FX20" i="7"/>
  <c r="FS20" i="7"/>
  <c r="FP20" i="7"/>
  <c r="FV20" i="7"/>
  <c r="FO20" i="7"/>
  <c r="FK20" i="7"/>
  <c r="FR20" i="7"/>
  <c r="FW20" i="7"/>
  <c r="FQ20" i="7"/>
  <c r="FU20" i="7"/>
  <c r="FN20" i="7"/>
  <c r="IR18" i="7"/>
  <c r="IT18" i="7" s="1"/>
  <c r="IU18" i="7" s="1"/>
  <c r="IV18" i="7" s="1"/>
  <c r="EQ22" i="7"/>
  <c r="ER22" i="7"/>
  <c r="EQ23" i="7"/>
  <c r="ER23" i="7"/>
  <c r="EA23" i="7"/>
  <c r="DO23" i="7"/>
  <c r="DP23" i="7"/>
  <c r="DZ23" i="7"/>
  <c r="DQ23" i="7"/>
  <c r="DY23" i="7"/>
  <c r="DR23" i="7"/>
  <c r="DX23" i="7"/>
  <c r="DW23" i="7"/>
  <c r="GI23" i="7" s="1"/>
  <c r="GO23" i="7" s="1"/>
  <c r="GP23" i="7" s="1"/>
  <c r="DN23" i="7"/>
  <c r="DS23" i="7"/>
  <c r="DT23" i="7"/>
  <c r="DV23" i="7"/>
  <c r="DU23" i="7"/>
  <c r="DZ21" i="7"/>
  <c r="DU21" i="7"/>
  <c r="DT21" i="7"/>
  <c r="EA21" i="7"/>
  <c r="DS21" i="7"/>
  <c r="DR21" i="7"/>
  <c r="DP21" i="7"/>
  <c r="DV21" i="7"/>
  <c r="DW21" i="7"/>
  <c r="DN21" i="7"/>
  <c r="DX21" i="7"/>
  <c r="DQ21" i="7"/>
  <c r="DY21" i="7"/>
  <c r="DO21" i="7"/>
  <c r="DS10" i="7"/>
  <c r="DP10" i="7"/>
  <c r="DW10" i="7"/>
  <c r="EA10" i="7"/>
  <c r="DV10" i="7"/>
  <c r="DX10" i="7"/>
  <c r="DQ10" i="7"/>
  <c r="DO10" i="7"/>
  <c r="DT10" i="7"/>
  <c r="DU10" i="7"/>
  <c r="DZ10" i="7"/>
  <c r="DY10" i="7"/>
  <c r="DN10" i="7"/>
  <c r="DR10" i="7"/>
  <c r="EQ19" i="7" a="1"/>
  <c r="ER6" i="7"/>
  <c r="EQ6" i="7"/>
  <c r="DU11" i="7"/>
  <c r="DO11" i="7"/>
  <c r="DN11" i="7"/>
  <c r="DX11" i="7"/>
  <c r="DS11" i="7"/>
  <c r="DY11" i="7"/>
  <c r="DW11" i="7"/>
  <c r="DT11" i="7"/>
  <c r="DZ11" i="7"/>
  <c r="DV11" i="7"/>
  <c r="DR11" i="7"/>
  <c r="EA11" i="7"/>
  <c r="DP11" i="7"/>
  <c r="DQ11" i="7"/>
  <c r="DQ16" i="7"/>
  <c r="DX16" i="7"/>
  <c r="DY16" i="7"/>
  <c r="DU16" i="7"/>
  <c r="DV16" i="7"/>
  <c r="DW16" i="7"/>
  <c r="DT16" i="7"/>
  <c r="DZ16" i="7"/>
  <c r="EA16" i="7"/>
  <c r="DO16" i="7"/>
  <c r="DS16" i="7"/>
  <c r="DP16" i="7"/>
  <c r="DN16" i="7"/>
  <c r="DR16" i="7"/>
  <c r="GB14" i="7"/>
  <c r="FP14" i="7"/>
  <c r="FY14" i="7"/>
  <c r="FT14" i="7"/>
  <c r="FU14" i="7"/>
  <c r="FV14" i="7"/>
  <c r="FQ14" i="7"/>
  <c r="GA14" i="7"/>
  <c r="FZ14" i="7"/>
  <c r="FS14" i="7"/>
  <c r="FK14" i="7"/>
  <c r="FO14" i="7"/>
  <c r="FX14" i="7"/>
  <c r="FN14" i="7"/>
  <c r="FR14" i="7"/>
  <c r="FM14" i="7"/>
  <c r="FW14" i="7"/>
  <c r="FL14" i="7"/>
  <c r="GC2" i="7" a="1"/>
  <c r="DY9" i="7"/>
  <c r="DO9" i="7"/>
  <c r="DZ9" i="7"/>
  <c r="DQ9" i="7"/>
  <c r="DU9" i="7"/>
  <c r="DT9" i="7"/>
  <c r="DX9" i="7"/>
  <c r="DN9" i="7"/>
  <c r="DW9" i="7"/>
  <c r="DP9" i="7"/>
  <c r="EA9" i="7"/>
  <c r="DV9" i="7"/>
  <c r="DR9" i="7"/>
  <c r="DS9" i="7"/>
  <c r="DW15" i="7"/>
  <c r="DP15" i="7"/>
  <c r="DQ15" i="7"/>
  <c r="DV15" i="7"/>
  <c r="EA15" i="7"/>
  <c r="DZ15" i="7"/>
  <c r="DO15" i="7"/>
  <c r="DR15" i="7"/>
  <c r="DU15" i="7"/>
  <c r="DX15" i="7"/>
  <c r="DT15" i="7"/>
  <c r="DN15" i="7"/>
  <c r="DS15" i="7"/>
  <c r="DY15" i="7"/>
  <c r="FN21" i="7"/>
  <c r="FW21" i="7"/>
  <c r="FQ21" i="7"/>
  <c r="FK21" i="7"/>
  <c r="GA21" i="7"/>
  <c r="FT21" i="7"/>
  <c r="FS21" i="7"/>
  <c r="FZ21" i="7"/>
  <c r="FX21" i="7"/>
  <c r="FR21" i="7"/>
  <c r="FU21" i="7"/>
  <c r="FL21" i="7"/>
  <c r="FO21" i="7"/>
  <c r="FV21" i="7"/>
  <c r="GB21" i="7"/>
  <c r="FM21" i="7"/>
  <c r="FY21" i="7"/>
  <c r="FP21" i="7"/>
  <c r="EB7" i="7"/>
  <c r="EC7" i="7"/>
  <c r="DS2" i="7"/>
  <c r="ER11" i="7"/>
  <c r="EQ11" i="7"/>
  <c r="CY19" i="7"/>
  <c r="CX19" i="7"/>
  <c r="DO2" i="7"/>
  <c r="DT2" i="7"/>
  <c r="DY2" i="7"/>
  <c r="DW2" i="7"/>
  <c r="DX2" i="7"/>
  <c r="DP2" i="7"/>
  <c r="EA2" i="7"/>
  <c r="DZ2" i="7"/>
  <c r="DU2" i="7"/>
  <c r="DV2" i="7"/>
  <c r="DN2" i="7"/>
  <c r="DR2" i="7"/>
  <c r="DQ2" i="7"/>
  <c r="DZ5" i="7"/>
  <c r="EA5" i="7"/>
  <c r="DO5" i="7"/>
  <c r="DQ5" i="7"/>
  <c r="DS5" i="7"/>
  <c r="DN5" i="7"/>
  <c r="DV5" i="7"/>
  <c r="DX5" i="7"/>
  <c r="DP5" i="7"/>
  <c r="DY5" i="7"/>
  <c r="DW5" i="7"/>
  <c r="DU5" i="7"/>
  <c r="DT5" i="7"/>
  <c r="DR5" i="7"/>
  <c r="FK4" i="7"/>
  <c r="FY4" i="7"/>
  <c r="FQ4" i="7"/>
  <c r="FW4" i="7"/>
  <c r="GA4" i="7"/>
  <c r="FP4" i="7"/>
  <c r="FZ4" i="7"/>
  <c r="FN4" i="7"/>
  <c r="FX4" i="7"/>
  <c r="FL4" i="7"/>
  <c r="FM4" i="7"/>
  <c r="FU4" i="7"/>
  <c r="FR4" i="7"/>
  <c r="GB4" i="7"/>
  <c r="FV4" i="7"/>
  <c r="FT4" i="7"/>
  <c r="FS4" i="7"/>
  <c r="FO4" i="7"/>
  <c r="EQ12" i="7"/>
  <c r="ER12" i="7"/>
  <c r="DT14" i="7"/>
  <c r="DS14" i="7"/>
  <c r="DU14" i="7"/>
  <c r="DN14" i="7"/>
  <c r="DX14" i="7"/>
  <c r="EA14" i="7"/>
  <c r="DZ14" i="7"/>
  <c r="DQ14" i="7"/>
  <c r="DW14" i="7"/>
  <c r="DO14" i="7"/>
  <c r="DY14" i="7"/>
  <c r="DR14" i="7"/>
  <c r="DP14" i="7"/>
  <c r="DV14" i="7"/>
  <c r="DV6" i="7"/>
  <c r="DZ6" i="7"/>
  <c r="DS6" i="7"/>
  <c r="DW6" i="7"/>
  <c r="DO6" i="7"/>
  <c r="DN6" i="7"/>
  <c r="DP6" i="7"/>
  <c r="DX6" i="7"/>
  <c r="DQ6" i="7"/>
  <c r="DR6" i="7"/>
  <c r="DT6" i="7"/>
  <c r="DU6" i="7"/>
  <c r="DY6" i="7"/>
  <c r="EA6" i="7"/>
  <c r="FQ15" i="7"/>
  <c r="DT4" i="7"/>
  <c r="DW4" i="7"/>
  <c r="DX4" i="7"/>
  <c r="DU4" i="7"/>
  <c r="EA4" i="7"/>
  <c r="DV4" i="7"/>
  <c r="DQ4" i="7"/>
  <c r="DO4" i="7"/>
  <c r="DS4" i="7"/>
  <c r="DP4" i="7"/>
  <c r="DZ4" i="7"/>
  <c r="DY4" i="7"/>
  <c r="DN4" i="7"/>
  <c r="DN12" i="7"/>
  <c r="DQ12" i="7"/>
  <c r="DT12" i="7"/>
  <c r="DU12" i="7"/>
  <c r="DZ12" i="7"/>
  <c r="DP12" i="7"/>
  <c r="EA12" i="7"/>
  <c r="DV12" i="7"/>
  <c r="DS12" i="7"/>
  <c r="DW12" i="7"/>
  <c r="DR12" i="7"/>
  <c r="DX12" i="7"/>
  <c r="DO12" i="7"/>
  <c r="DY12" i="7"/>
  <c r="FR15" i="7"/>
  <c r="FS15" i="7"/>
  <c r="FW15" i="7"/>
  <c r="FU15" i="7"/>
  <c r="FX15" i="7"/>
  <c r="FZ15" i="7"/>
  <c r="FK15" i="7"/>
  <c r="FY15" i="7"/>
  <c r="FO15" i="7"/>
  <c r="FL15" i="7"/>
  <c r="FM15" i="7"/>
  <c r="FV15" i="7"/>
  <c r="GB15" i="7"/>
  <c r="FP15" i="7"/>
  <c r="FT15" i="7"/>
  <c r="GA15" i="7"/>
  <c r="FN15" i="7"/>
  <c r="ER16" i="7"/>
  <c r="EQ16" i="7"/>
  <c r="DN8" i="7"/>
  <c r="DP8" i="7"/>
  <c r="DX8" i="7"/>
  <c r="DW8" i="7"/>
  <c r="DQ8" i="7"/>
  <c r="DY8" i="7"/>
  <c r="DR8" i="7"/>
  <c r="DZ8" i="7"/>
  <c r="DT8" i="7"/>
  <c r="DS8" i="7"/>
  <c r="EA8" i="7"/>
  <c r="DU8" i="7"/>
  <c r="DV8" i="7"/>
  <c r="DO8" i="7"/>
  <c r="FR10" i="7"/>
  <c r="GI7" i="7"/>
  <c r="GO7" i="7" s="1"/>
  <c r="GP7" i="7" s="1"/>
  <c r="ED7" i="7"/>
  <c r="EE7" i="7" s="1"/>
  <c r="DQ17" i="7"/>
  <c r="DW17" i="7"/>
  <c r="DR17" i="7"/>
  <c r="DS17" i="7"/>
  <c r="DT17" i="7"/>
  <c r="DN17" i="7"/>
  <c r="DV17" i="7"/>
  <c r="DZ17" i="7"/>
  <c r="DX17" i="7"/>
  <c r="EA17" i="7"/>
  <c r="DU17" i="7"/>
  <c r="DO17" i="7"/>
  <c r="DY17" i="7"/>
  <c r="DP17" i="7"/>
  <c r="GA8" i="7"/>
  <c r="GB8" i="7"/>
  <c r="FM8" i="7"/>
  <c r="FZ8" i="7"/>
  <c r="FS8" i="7"/>
  <c r="FU8" i="7"/>
  <c r="FK8" i="7"/>
  <c r="FN8" i="7"/>
  <c r="FO8" i="7"/>
  <c r="FV8" i="7"/>
  <c r="FW8" i="7"/>
  <c r="FP8" i="7"/>
  <c r="FX8" i="7"/>
  <c r="FT8" i="7"/>
  <c r="FL8" i="7"/>
  <c r="FR8" i="7"/>
  <c r="FQ8" i="7"/>
  <c r="FY8" i="7"/>
  <c r="FN10" i="7"/>
  <c r="FS10" i="7"/>
  <c r="FV10" i="7"/>
  <c r="FL10" i="7"/>
  <c r="FP10" i="7"/>
  <c r="GA10" i="7"/>
  <c r="FX10" i="7"/>
  <c r="FM10" i="7"/>
  <c r="FQ10" i="7"/>
  <c r="FU10" i="7"/>
  <c r="FY10" i="7"/>
  <c r="FT10" i="7"/>
  <c r="FZ10" i="7"/>
  <c r="FO10" i="7"/>
  <c r="FK10" i="7"/>
  <c r="FW10" i="7"/>
  <c r="GB10" i="7"/>
  <c r="ER3" i="7"/>
  <c r="EQ3" i="7"/>
  <c r="FW3" i="7" s="1"/>
  <c r="ER13" i="7"/>
  <c r="EQ13" i="7"/>
  <c r="ER18" i="7"/>
  <c r="EQ18" i="7"/>
  <c r="IL10" i="7"/>
  <c r="IM10" i="7" s="1"/>
  <c r="IN10" i="7" s="1"/>
  <c r="IQ10" i="7" s="1"/>
  <c r="IO10" i="7"/>
  <c r="IP10" i="7" s="1"/>
  <c r="DQ13" i="7"/>
  <c r="DX13" i="7"/>
  <c r="DO13" i="7"/>
  <c r="DS13" i="7"/>
  <c r="EA13" i="7"/>
  <c r="DP13" i="7"/>
  <c r="DU13" i="7"/>
  <c r="DR13" i="7"/>
  <c r="DZ13" i="7"/>
  <c r="DW13" i="7"/>
  <c r="DN13" i="7"/>
  <c r="DV13" i="7"/>
  <c r="DY13" i="7"/>
  <c r="DT13" i="7"/>
  <c r="EQ17" i="7"/>
  <c r="ER17" i="7"/>
  <c r="DN18" i="7"/>
  <c r="DO18" i="7"/>
  <c r="DT18" i="7"/>
  <c r="DU18" i="7"/>
  <c r="DZ18" i="7"/>
  <c r="DP18" i="7"/>
  <c r="DW18" i="7"/>
  <c r="EA18" i="7"/>
  <c r="DV18" i="7"/>
  <c r="DR18" i="7"/>
  <c r="DS18" i="7"/>
  <c r="DQ18" i="7"/>
  <c r="DY18" i="7"/>
  <c r="DX18" i="7"/>
  <c r="DU20" i="7"/>
  <c r="DO20" i="7"/>
  <c r="DV20" i="7"/>
  <c r="DW20" i="7"/>
  <c r="DN20" i="7"/>
  <c r="DX20" i="7"/>
  <c r="DT20" i="7"/>
  <c r="DZ20" i="7"/>
  <c r="DQ20" i="7"/>
  <c r="DY20" i="7"/>
  <c r="DR20" i="7"/>
  <c r="EA20" i="7"/>
  <c r="DS20" i="7"/>
  <c r="DP20" i="7"/>
  <c r="DS3" i="7"/>
  <c r="EA3" i="7"/>
  <c r="DW3" i="7"/>
  <c r="DX3" i="7"/>
  <c r="DQ3" i="7"/>
  <c r="DR3" i="7"/>
  <c r="DY3" i="7"/>
  <c r="DV3" i="7"/>
  <c r="DZ3" i="7"/>
  <c r="DP3" i="7"/>
  <c r="DU3" i="7"/>
  <c r="DO3" i="7"/>
  <c r="DN3" i="7"/>
  <c r="DT3" i="7"/>
  <c r="ER7" i="7"/>
  <c r="EQ7" i="7"/>
  <c r="I35" i="4"/>
  <c r="E35" i="4"/>
  <c r="K35" i="4"/>
  <c r="G35" i="4"/>
  <c r="F35" i="4"/>
  <c r="M35" i="4"/>
  <c r="H35" i="4"/>
  <c r="L35" i="4"/>
  <c r="N35" i="4"/>
  <c r="D35" i="4"/>
  <c r="C35" i="4"/>
  <c r="B35" i="4"/>
  <c r="A35" i="4"/>
  <c r="GE3" i="7"/>
  <c r="GF3" i="7" s="1"/>
  <c r="FL24" i="7" l="1"/>
  <c r="GA24" i="7"/>
  <c r="FS24" i="7"/>
  <c r="FR24" i="7"/>
  <c r="FU24" i="7"/>
  <c r="FN24" i="7"/>
  <c r="FV24" i="7"/>
  <c r="FM24" i="7"/>
  <c r="FW26" i="7"/>
  <c r="GA26" i="7"/>
  <c r="FU26" i="7"/>
  <c r="GB27" i="7"/>
  <c r="FZ27" i="7"/>
  <c r="FO24" i="7"/>
  <c r="FX27" i="7"/>
  <c r="FZ24" i="7"/>
  <c r="FM27" i="7"/>
  <c r="GE20" i="7"/>
  <c r="GF20" i="7" s="1"/>
  <c r="GG20" i="7" s="1"/>
  <c r="FT24" i="7"/>
  <c r="GE24" i="7" s="1"/>
  <c r="GF24" i="7" s="1"/>
  <c r="GG24" i="7" s="1"/>
  <c r="FW27" i="7"/>
  <c r="FY24" i="7"/>
  <c r="FL27" i="7"/>
  <c r="EB16" i="7" a="1"/>
  <c r="EC16" i="7" s="1"/>
  <c r="FU27" i="7"/>
  <c r="FK26" i="7"/>
  <c r="FO27" i="7"/>
  <c r="FT27" i="7"/>
  <c r="GE27" i="7" s="1"/>
  <c r="GF27" i="7" s="1"/>
  <c r="GG27" i="7" s="1"/>
  <c r="FP24" i="7"/>
  <c r="FV27" i="7"/>
  <c r="FY27" i="7"/>
  <c r="FQ24" i="7"/>
  <c r="FS27" i="7"/>
  <c r="FZ26" i="7"/>
  <c r="FN26" i="7"/>
  <c r="FQ26" i="7"/>
  <c r="FT26" i="7"/>
  <c r="FS26" i="7"/>
  <c r="GB26" i="7"/>
  <c r="FV26" i="7"/>
  <c r="FX26" i="7"/>
  <c r="FL26" i="7"/>
  <c r="FY26" i="7"/>
  <c r="FO26" i="7"/>
  <c r="FM26" i="7"/>
  <c r="FP26" i="7"/>
  <c r="FQ7" i="7"/>
  <c r="ED23" i="7"/>
  <c r="EE23" i="7" s="1"/>
  <c r="GI22" i="7"/>
  <c r="GO22" i="7" s="1"/>
  <c r="GP22" i="7" s="1"/>
  <c r="ED22" i="7"/>
  <c r="EE22" i="7" s="1"/>
  <c r="EB23" i="7" a="1"/>
  <c r="EB22" i="7" a="1"/>
  <c r="FW6" i="7"/>
  <c r="FY23" i="7"/>
  <c r="FZ23" i="7"/>
  <c r="FW23" i="7"/>
  <c r="FN23" i="7"/>
  <c r="FO23" i="7"/>
  <c r="FQ23" i="7"/>
  <c r="FP23" i="7"/>
  <c r="FM23" i="7"/>
  <c r="GA23" i="7"/>
  <c r="FR23" i="7"/>
  <c r="FU23" i="7"/>
  <c r="GB23" i="7"/>
  <c r="FV23" i="7"/>
  <c r="FS23" i="7"/>
  <c r="FK23" i="7"/>
  <c r="FT23" i="7"/>
  <c r="FL23" i="7"/>
  <c r="FX23" i="7"/>
  <c r="IR10" i="7"/>
  <c r="IT10" i="7" s="1"/>
  <c r="IU10" i="7" s="1"/>
  <c r="IV10" i="7" s="1"/>
  <c r="FN22" i="7"/>
  <c r="FR22" i="7"/>
  <c r="FM22" i="7"/>
  <c r="FU22" i="7"/>
  <c r="GB22" i="7"/>
  <c r="FL22" i="7"/>
  <c r="FV22" i="7"/>
  <c r="FT22" i="7"/>
  <c r="FZ22" i="7"/>
  <c r="FW22" i="7"/>
  <c r="GA22" i="7"/>
  <c r="FK22" i="7"/>
  <c r="FO22" i="7"/>
  <c r="FY22" i="7"/>
  <c r="FX22" i="7"/>
  <c r="FS22" i="7"/>
  <c r="FQ22" i="7"/>
  <c r="FP22" i="7"/>
  <c r="GC20" i="7" a="1"/>
  <c r="GC21" i="7" a="1"/>
  <c r="GD21" i="7" s="1"/>
  <c r="FV18" i="7"/>
  <c r="FR18" i="7"/>
  <c r="FZ18" i="7"/>
  <c r="FS18" i="7"/>
  <c r="FU18" i="7"/>
  <c r="FT18" i="7"/>
  <c r="FP18" i="7"/>
  <c r="FK18" i="7"/>
  <c r="FN18" i="7"/>
  <c r="GB18" i="7"/>
  <c r="FW18" i="7"/>
  <c r="FO18" i="7"/>
  <c r="FM18" i="7"/>
  <c r="FY18" i="7"/>
  <c r="FX18" i="7"/>
  <c r="GA18" i="7"/>
  <c r="FQ18" i="7"/>
  <c r="FL18" i="7"/>
  <c r="EB18" i="7" a="1"/>
  <c r="GE7" i="7"/>
  <c r="GF7" i="7" s="1"/>
  <c r="GG7" i="7" s="1"/>
  <c r="EB21" i="7" a="1"/>
  <c r="GI3" i="7"/>
  <c r="GO3" i="7" s="1"/>
  <c r="GP3" i="7" s="1"/>
  <c r="ED3" i="7"/>
  <c r="EE3" i="7" s="1"/>
  <c r="FX7" i="7"/>
  <c r="FU7" i="7"/>
  <c r="FM7" i="7"/>
  <c r="FW7" i="7"/>
  <c r="FS7" i="7"/>
  <c r="FT7" i="7"/>
  <c r="GB7" i="7"/>
  <c r="FR7" i="7"/>
  <c r="FO7" i="7"/>
  <c r="FK7" i="7"/>
  <c r="FY7" i="7"/>
  <c r="FN7" i="7"/>
  <c r="FL7" i="7"/>
  <c r="FV7" i="7"/>
  <c r="FP7" i="7"/>
  <c r="FZ7" i="7"/>
  <c r="GA7" i="7"/>
  <c r="EB13" i="7" a="1"/>
  <c r="FZ13" i="7"/>
  <c r="FN13" i="7"/>
  <c r="FL13" i="7"/>
  <c r="FW13" i="7"/>
  <c r="GB13" i="7"/>
  <c r="FS13" i="7"/>
  <c r="GA13" i="7"/>
  <c r="FX13" i="7"/>
  <c r="FR13" i="7"/>
  <c r="FO13" i="7"/>
  <c r="FM13" i="7"/>
  <c r="FU13" i="7"/>
  <c r="FQ13" i="7"/>
  <c r="FY13" i="7"/>
  <c r="FK13" i="7"/>
  <c r="FP13" i="7"/>
  <c r="FV13" i="7"/>
  <c r="FT13" i="7"/>
  <c r="GE13" i="7" s="1"/>
  <c r="GF13" i="7" s="1"/>
  <c r="GG13" i="7" s="1"/>
  <c r="EB17" i="7" a="1"/>
  <c r="ED12" i="7"/>
  <c r="EE12" i="7" s="1"/>
  <c r="GI12" i="7"/>
  <c r="GO12" i="7" s="1"/>
  <c r="GP12" i="7" s="1"/>
  <c r="EB6" i="7" a="1"/>
  <c r="EB14" i="7" a="1"/>
  <c r="GI2" i="7"/>
  <c r="GO2" i="7" s="1"/>
  <c r="GP2" i="7" s="1"/>
  <c r="ED2" i="7"/>
  <c r="EE2" i="7" s="1"/>
  <c r="ED21" i="7"/>
  <c r="EE21" i="7" s="1"/>
  <c r="GI21" i="7"/>
  <c r="GO21" i="7" s="1"/>
  <c r="GP21" i="7" s="1"/>
  <c r="EB15" i="7" a="1"/>
  <c r="ER19" i="7"/>
  <c r="EQ19" i="7"/>
  <c r="EB5" i="7" a="1"/>
  <c r="EB3" i="7" a="1"/>
  <c r="GI6" i="7"/>
  <c r="GO6" i="7" s="1"/>
  <c r="GP6" i="7" s="1"/>
  <c r="ED6" i="7"/>
  <c r="EE6" i="7" s="1"/>
  <c r="ED9" i="7"/>
  <c r="EE9" i="7" s="1"/>
  <c r="GI9" i="7"/>
  <c r="GO9" i="7" s="1"/>
  <c r="GP9" i="7" s="1"/>
  <c r="GC15" i="7" a="1"/>
  <c r="EB9" i="7" a="1"/>
  <c r="GC14" i="7" a="1"/>
  <c r="ED11" i="7"/>
  <c r="EE11" i="7" s="1"/>
  <c r="GI11" i="7"/>
  <c r="GO11" i="7" s="1"/>
  <c r="GP11" i="7" s="1"/>
  <c r="EB10" i="7" a="1"/>
  <c r="GI18" i="7"/>
  <c r="GO18" i="7" s="1"/>
  <c r="GP18" i="7" s="1"/>
  <c r="ED18" i="7"/>
  <c r="EE18" i="7" s="1"/>
  <c r="FZ3" i="7"/>
  <c r="FQ3" i="7"/>
  <c r="FK3" i="7"/>
  <c r="FO3" i="7"/>
  <c r="FN3" i="7"/>
  <c r="FT3" i="7"/>
  <c r="FS3" i="7"/>
  <c r="FU3" i="7"/>
  <c r="FX3" i="7"/>
  <c r="FR3" i="7"/>
  <c r="FV3" i="7"/>
  <c r="GA3" i="7"/>
  <c r="FL3" i="7"/>
  <c r="GB3" i="7"/>
  <c r="FP3" i="7"/>
  <c r="FM3" i="7"/>
  <c r="FY3" i="7"/>
  <c r="ED17" i="7"/>
  <c r="EE17" i="7" s="1"/>
  <c r="GI17" i="7"/>
  <c r="GO17" i="7" s="1"/>
  <c r="GP17" i="7" s="1"/>
  <c r="GE4" i="7"/>
  <c r="GF4" i="7" s="1"/>
  <c r="ED13" i="7"/>
  <c r="EE13" i="7" s="1"/>
  <c r="GI13" i="7"/>
  <c r="GO13" i="7" s="1"/>
  <c r="GP13" i="7" s="1"/>
  <c r="GI8" i="7"/>
  <c r="GO8" i="7" s="1"/>
  <c r="GP8" i="7" s="1"/>
  <c r="ED8" i="7"/>
  <c r="EE8" i="7" s="1"/>
  <c r="GI4" i="7"/>
  <c r="GO4" i="7" s="1"/>
  <c r="GP4" i="7" s="1"/>
  <c r="ED4" i="7"/>
  <c r="EE4" i="7" s="1"/>
  <c r="FR12" i="7"/>
  <c r="FX12" i="7"/>
  <c r="FK12" i="7"/>
  <c r="FO12" i="7"/>
  <c r="FV12" i="7"/>
  <c r="GA12" i="7"/>
  <c r="FM12" i="7"/>
  <c r="FQ12" i="7"/>
  <c r="FS12" i="7"/>
  <c r="FY12" i="7"/>
  <c r="FW12" i="7"/>
  <c r="FN12" i="7"/>
  <c r="FT12" i="7"/>
  <c r="FZ12" i="7"/>
  <c r="FU12" i="7"/>
  <c r="GB12" i="7"/>
  <c r="FP12" i="7"/>
  <c r="FL12" i="7"/>
  <c r="DR19" i="7"/>
  <c r="AD6" i="8" s="1"/>
  <c r="DS19" i="7"/>
  <c r="AE6" i="8" s="1"/>
  <c r="DP19" i="7"/>
  <c r="AB6" i="8" s="1"/>
  <c r="DQ19" i="7"/>
  <c r="AC6" i="8" s="1"/>
  <c r="DT19" i="7"/>
  <c r="AF6" i="8" s="1"/>
  <c r="DU19" i="7"/>
  <c r="AG6" i="8" s="1"/>
  <c r="DW19" i="7"/>
  <c r="DV19" i="7"/>
  <c r="AH6" i="8" s="1"/>
  <c r="DZ19" i="7"/>
  <c r="AL6" i="8" s="1"/>
  <c r="DN19" i="7"/>
  <c r="DX19" i="7"/>
  <c r="AJ6" i="8" s="1"/>
  <c r="EA19" i="7"/>
  <c r="AM6" i="8" s="1"/>
  <c r="DO19" i="7"/>
  <c r="AA6" i="8" s="1"/>
  <c r="DY19" i="7"/>
  <c r="AK6" i="8" s="1"/>
  <c r="GE6" i="7"/>
  <c r="GF6" i="7" s="1"/>
  <c r="EB8" i="7" a="1"/>
  <c r="ED16" i="7"/>
  <c r="EE16" i="7" s="1"/>
  <c r="GI16" i="7"/>
  <c r="GO16" i="7" s="1"/>
  <c r="GP16" i="7" s="1"/>
  <c r="GI5" i="7"/>
  <c r="GO5" i="7" s="1"/>
  <c r="GP5" i="7" s="1"/>
  <c r="ED5" i="7"/>
  <c r="EE5" i="7" s="1"/>
  <c r="GE10" i="7"/>
  <c r="GF10" i="7" s="1"/>
  <c r="GG10" i="7" s="1"/>
  <c r="GC10" i="7" a="1"/>
  <c r="FX11" i="7"/>
  <c r="GA11" i="7"/>
  <c r="FU11" i="7"/>
  <c r="FM11" i="7"/>
  <c r="FS11" i="7"/>
  <c r="FO11" i="7"/>
  <c r="FL11" i="7"/>
  <c r="FY11" i="7"/>
  <c r="FN11" i="7"/>
  <c r="FT11" i="7"/>
  <c r="FZ11" i="7"/>
  <c r="FP11" i="7"/>
  <c r="FK11" i="7"/>
  <c r="FV11" i="7"/>
  <c r="FQ11" i="7"/>
  <c r="GB11" i="7"/>
  <c r="FW11" i="7"/>
  <c r="FR11" i="7"/>
  <c r="EB11" i="7" a="1"/>
  <c r="EB20" i="7" a="1"/>
  <c r="FR16" i="7"/>
  <c r="GB16" i="7"/>
  <c r="FU16" i="7"/>
  <c r="FX16" i="7"/>
  <c r="FW16" i="7"/>
  <c r="FY16" i="7"/>
  <c r="FT16" i="7"/>
  <c r="FL16" i="7"/>
  <c r="FK16" i="7"/>
  <c r="FN16" i="7"/>
  <c r="FV16" i="7"/>
  <c r="FQ16" i="7"/>
  <c r="GA16" i="7"/>
  <c r="FO16" i="7"/>
  <c r="FS16" i="7"/>
  <c r="FZ16" i="7"/>
  <c r="FP16" i="7"/>
  <c r="FM16" i="7"/>
  <c r="GC4" i="7" a="1"/>
  <c r="ED10" i="7"/>
  <c r="EE10" i="7" s="1"/>
  <c r="GI10" i="7"/>
  <c r="GO10" i="7" s="1"/>
  <c r="GP10" i="7" s="1"/>
  <c r="EB12" i="7" a="1"/>
  <c r="EB2" i="7" a="1"/>
  <c r="GE21" i="7"/>
  <c r="GF21" i="7" s="1"/>
  <c r="GG21" i="7" s="1"/>
  <c r="ED15" i="7"/>
  <c r="EE15" i="7" s="1"/>
  <c r="GI15" i="7"/>
  <c r="GO15" i="7" s="1"/>
  <c r="GP15" i="7" s="1"/>
  <c r="ED20" i="7"/>
  <c r="EE20" i="7" s="1"/>
  <c r="GI20" i="7"/>
  <c r="GO20" i="7" s="1"/>
  <c r="GP20" i="7" s="1"/>
  <c r="GE8" i="7"/>
  <c r="GF8" i="7" s="1"/>
  <c r="GG8" i="7" s="1"/>
  <c r="EB4" i="7" a="1"/>
  <c r="GE14" i="7"/>
  <c r="GF14" i="7" s="1"/>
  <c r="GG14" i="7" s="1"/>
  <c r="GC8" i="7" a="1"/>
  <c r="FT17" i="7"/>
  <c r="FZ17" i="7"/>
  <c r="FO17" i="7"/>
  <c r="FP17" i="7"/>
  <c r="GA17" i="7"/>
  <c r="FR17" i="7"/>
  <c r="FV17" i="7"/>
  <c r="FN17" i="7"/>
  <c r="FW17" i="7"/>
  <c r="FS17" i="7"/>
  <c r="FK17" i="7"/>
  <c r="FY17" i="7"/>
  <c r="FL17" i="7"/>
  <c r="FX17" i="7"/>
  <c r="GB17" i="7"/>
  <c r="FU17" i="7"/>
  <c r="FQ17" i="7"/>
  <c r="FM17" i="7"/>
  <c r="GE15" i="7"/>
  <c r="GF15" i="7" s="1"/>
  <c r="GG15" i="7" s="1"/>
  <c r="ED14" i="7"/>
  <c r="EE14" i="7" s="1"/>
  <c r="GI14" i="7"/>
  <c r="GO14" i="7" s="1"/>
  <c r="GP14" i="7" s="1"/>
  <c r="EF7" i="7"/>
  <c r="GC2" i="7"/>
  <c r="GD2" i="7"/>
  <c r="GH2" i="7" s="1"/>
  <c r="GB6" i="7"/>
  <c r="FX6" i="7"/>
  <c r="FM6" i="7"/>
  <c r="FS6" i="7"/>
  <c r="FR6" i="7"/>
  <c r="FN6" i="7"/>
  <c r="FO6" i="7"/>
  <c r="FP6" i="7"/>
  <c r="FK6" i="7"/>
  <c r="FV6" i="7"/>
  <c r="FZ6" i="7"/>
  <c r="FT6" i="7"/>
  <c r="FY6" i="7"/>
  <c r="GA6" i="7"/>
  <c r="FQ6" i="7"/>
  <c r="FL6" i="7"/>
  <c r="FU6" i="7"/>
  <c r="J35" i="4"/>
  <c r="GC27" i="7" l="1" a="1"/>
  <c r="GD27" i="7" s="1"/>
  <c r="GH27" i="7" s="1"/>
  <c r="GL27" i="7" s="1"/>
  <c r="GM27" i="7" s="1"/>
  <c r="GQ27" i="7" s="1"/>
  <c r="GR27" i="7" s="1"/>
  <c r="GC24" i="7" a="1"/>
  <c r="GD24" i="7" s="1"/>
  <c r="GH24" i="7" s="1"/>
  <c r="GL24" i="7" s="1"/>
  <c r="GM24" i="7" s="1"/>
  <c r="GQ24" i="7" s="1"/>
  <c r="GR24" i="7" s="1"/>
  <c r="GE26" i="7"/>
  <c r="GF26" i="7" s="1"/>
  <c r="GG26" i="7" s="1"/>
  <c r="EB16" i="7"/>
  <c r="GE17" i="7"/>
  <c r="GF17" i="7" s="1"/>
  <c r="GG17" i="7" s="1"/>
  <c r="GE23" i="7"/>
  <c r="GF23" i="7" s="1"/>
  <c r="GG23" i="7" s="1"/>
  <c r="GC26" i="7" a="1"/>
  <c r="GD26" i="7" s="1"/>
  <c r="GH26" i="7" s="1"/>
  <c r="GC22" i="7" a="1"/>
  <c r="GC23" i="7" a="1"/>
  <c r="GE22" i="7"/>
  <c r="GF22" i="7" s="1"/>
  <c r="GG22" i="7" s="1"/>
  <c r="EB22" i="7"/>
  <c r="EC22" i="7"/>
  <c r="EF22" i="7" s="1"/>
  <c r="GC20" i="7"/>
  <c r="GD20" i="7"/>
  <c r="GH20" i="7" s="1"/>
  <c r="EC23" i="7"/>
  <c r="EF23" i="7" s="1"/>
  <c r="EB23" i="7"/>
  <c r="GC16" i="7" a="1"/>
  <c r="GC16" i="7" s="1"/>
  <c r="GG4" i="7"/>
  <c r="GC21" i="7"/>
  <c r="GC6" i="7" a="1"/>
  <c r="GH21" i="7"/>
  <c r="EB17" i="7"/>
  <c r="EC17" i="7"/>
  <c r="EF17" i="7" s="1"/>
  <c r="EC3" i="7"/>
  <c r="EF3" i="7" s="1"/>
  <c r="EB3" i="7"/>
  <c r="GC3" i="7" a="1"/>
  <c r="GD8" i="7"/>
  <c r="GH8" i="7" s="1"/>
  <c r="GC8" i="7"/>
  <c r="GG3" i="7"/>
  <c r="EB13" i="7"/>
  <c r="EC13" i="7"/>
  <c r="EF13" i="7" s="1"/>
  <c r="AI6" i="8"/>
  <c r="ED19" i="7"/>
  <c r="EE19" i="7" s="1"/>
  <c r="GI19" i="7"/>
  <c r="GO19" i="7" s="1"/>
  <c r="GP19" i="7" s="1"/>
  <c r="GE11" i="7"/>
  <c r="GF11" i="7" s="1"/>
  <c r="GG11" i="7" s="1"/>
  <c r="EC5" i="7"/>
  <c r="EF5" i="7" s="1"/>
  <c r="GL5" i="7" s="1"/>
  <c r="GM5" i="7" s="1"/>
  <c r="GQ5" i="7" s="1"/>
  <c r="GR5" i="7" s="1"/>
  <c r="EB5" i="7"/>
  <c r="GC13" i="7" a="1"/>
  <c r="GC4" i="7"/>
  <c r="GD4" i="7"/>
  <c r="EB8" i="7"/>
  <c r="EC8" i="7"/>
  <c r="EF8" i="7" s="1"/>
  <c r="EB12" i="7"/>
  <c r="EC12" i="7"/>
  <c r="EF12" i="7" s="1"/>
  <c r="FN19" i="7"/>
  <c r="AC11" i="8" s="1"/>
  <c r="GB19" i="7"/>
  <c r="FO19" i="7"/>
  <c r="AD11" i="8" s="1"/>
  <c r="FR19" i="7"/>
  <c r="AG11" i="8" s="1"/>
  <c r="FP19" i="7"/>
  <c r="AE11" i="8" s="1"/>
  <c r="FX19" i="7"/>
  <c r="AM11" i="8" s="1"/>
  <c r="FL19" i="7"/>
  <c r="AA11" i="8" s="1"/>
  <c r="FZ19" i="7"/>
  <c r="FQ19" i="7"/>
  <c r="AF11" i="8" s="1"/>
  <c r="FK19" i="7"/>
  <c r="GA19" i="7"/>
  <c r="FM19" i="7"/>
  <c r="AB11" i="8" s="1"/>
  <c r="FW19" i="7"/>
  <c r="AL11" i="8" s="1"/>
  <c r="FS19" i="7"/>
  <c r="AH11" i="8" s="1"/>
  <c r="FV19" i="7"/>
  <c r="AK11" i="8" s="1"/>
  <c r="FT19" i="7"/>
  <c r="FU19" i="7"/>
  <c r="AJ11" i="8" s="1"/>
  <c r="FY19" i="7"/>
  <c r="EB4" i="7"/>
  <c r="EC4" i="7"/>
  <c r="EF4" i="7" s="1"/>
  <c r="EC10" i="7"/>
  <c r="EF10" i="7" s="1"/>
  <c r="EB10" i="7"/>
  <c r="EC15" i="7"/>
  <c r="EF15" i="7" s="1"/>
  <c r="EB15" i="7"/>
  <c r="EB21" i="7"/>
  <c r="EC21" i="7"/>
  <c r="EF21" i="7" s="1"/>
  <c r="GC18" i="7" a="1"/>
  <c r="EB2" i="7"/>
  <c r="EC2" i="7"/>
  <c r="EF2" i="7" s="1"/>
  <c r="GL2" i="7" s="1"/>
  <c r="GM2" i="7" s="1"/>
  <c r="GQ2" i="7" s="1"/>
  <c r="GR2" i="7" s="1"/>
  <c r="GC12" i="7" a="1"/>
  <c r="EB20" i="7"/>
  <c r="EC20" i="7"/>
  <c r="EF20" i="7" s="1"/>
  <c r="GL20" i="7" s="1"/>
  <c r="GM20" i="7" s="1"/>
  <c r="GQ20" i="7" s="1"/>
  <c r="GR20" i="7" s="1"/>
  <c r="GG6" i="7"/>
  <c r="EF16" i="7"/>
  <c r="GE18" i="7"/>
  <c r="GF18" i="7" s="1"/>
  <c r="GG18" i="7" s="1"/>
  <c r="GC17" i="7" a="1"/>
  <c r="GD14" i="7"/>
  <c r="GH14" i="7" s="1"/>
  <c r="GC14" i="7"/>
  <c r="GC11" i="7" a="1"/>
  <c r="EB11" i="7"/>
  <c r="EC11" i="7"/>
  <c r="EF11" i="7" s="1"/>
  <c r="EB9" i="7"/>
  <c r="EC9" i="7"/>
  <c r="EF9" i="7" s="1"/>
  <c r="GL9" i="7" s="1"/>
  <c r="GM9" i="7" s="1"/>
  <c r="GQ9" i="7" s="1"/>
  <c r="GR9" i="7" s="1"/>
  <c r="GC7" i="7" a="1"/>
  <c r="GE16" i="7"/>
  <c r="GF16" i="7" s="1"/>
  <c r="GG16" i="7" s="1"/>
  <c r="GD15" i="7"/>
  <c r="GH15" i="7" s="1"/>
  <c r="GL15" i="7" s="1"/>
  <c r="GM15" i="7" s="1"/>
  <c r="GQ15" i="7" s="1"/>
  <c r="GR15" i="7" s="1"/>
  <c r="GC15" i="7"/>
  <c r="EB14" i="7"/>
  <c r="EC14" i="7"/>
  <c r="EF14" i="7" s="1"/>
  <c r="EB18" i="7"/>
  <c r="EC18" i="7"/>
  <c r="EF18" i="7" s="1"/>
  <c r="GE12" i="7"/>
  <c r="GF12" i="7" s="1"/>
  <c r="GG12" i="7" s="1"/>
  <c r="EC6" i="7"/>
  <c r="EF6" i="7" s="1"/>
  <c r="EB6" i="7"/>
  <c r="GC10" i="7"/>
  <c r="GD10" i="7"/>
  <c r="GH10" i="7" s="1"/>
  <c r="EB19" i="7" a="1"/>
  <c r="GC27" i="7" l="1"/>
  <c r="GC24" i="7"/>
  <c r="GD16" i="7"/>
  <c r="GC26" i="7"/>
  <c r="B30" i="9"/>
  <c r="GL26" i="7"/>
  <c r="GM26" i="7" s="1"/>
  <c r="GQ26" i="7" s="1"/>
  <c r="GR26" i="7" s="1"/>
  <c r="GL31" i="7"/>
  <c r="GM31" i="7" s="1"/>
  <c r="F10" i="9"/>
  <c r="GL8" i="7"/>
  <c r="GM8" i="7" s="1"/>
  <c r="GQ8" i="7" s="1"/>
  <c r="GR8" i="7" s="1"/>
  <c r="GL10" i="7"/>
  <c r="GM10" i="7" s="1"/>
  <c r="GQ10" i="7" s="1"/>
  <c r="GR10" i="7" s="1"/>
  <c r="GL21" i="7"/>
  <c r="GM21" i="7" s="1"/>
  <c r="GQ21" i="7" s="1"/>
  <c r="GR21" i="7" s="1"/>
  <c r="GH4" i="7"/>
  <c r="GL4" i="7" s="1"/>
  <c r="GM4" i="7" s="1"/>
  <c r="GQ4" i="7" s="1"/>
  <c r="GR4" i="7" s="1"/>
  <c r="GC23" i="7"/>
  <c r="GD23" i="7"/>
  <c r="GH23" i="7" s="1"/>
  <c r="GL23" i="7" s="1"/>
  <c r="GM23" i="7" s="1"/>
  <c r="GQ23" i="7" s="1"/>
  <c r="GR23" i="7" s="1"/>
  <c r="GC22" i="7"/>
  <c r="GD22" i="7"/>
  <c r="GH22" i="7" s="1"/>
  <c r="GL22" i="7" s="1"/>
  <c r="GM22" i="7" s="1"/>
  <c r="GQ22" i="7" s="1"/>
  <c r="GR22" i="7" s="1"/>
  <c r="GD12" i="7"/>
  <c r="GH12" i="7" s="1"/>
  <c r="GL12" i="7" s="1"/>
  <c r="GM12" i="7" s="1"/>
  <c r="GQ12" i="7" s="1"/>
  <c r="GR12" i="7" s="1"/>
  <c r="GC12" i="7"/>
  <c r="AI11" i="8"/>
  <c r="GE19" i="7"/>
  <c r="GF19" i="7" s="1"/>
  <c r="GG19" i="7" s="1"/>
  <c r="GC18" i="7"/>
  <c r="GD18" i="7"/>
  <c r="GH18" i="7" s="1"/>
  <c r="GL18" i="7"/>
  <c r="GM18" i="7" s="1"/>
  <c r="GQ18" i="7" s="1"/>
  <c r="GR18" i="7" s="1"/>
  <c r="Z11" i="8"/>
  <c r="GC19" i="7" a="1"/>
  <c r="GD3" i="7"/>
  <c r="GH3" i="7" s="1"/>
  <c r="GL3" i="7" s="1"/>
  <c r="GM3" i="7" s="1"/>
  <c r="GQ3" i="7" s="1"/>
  <c r="GR3" i="7" s="1"/>
  <c r="GC3" i="7"/>
  <c r="GD13" i="7"/>
  <c r="GH13" i="7" s="1"/>
  <c r="GL13" i="7" s="1"/>
  <c r="GM13" i="7" s="1"/>
  <c r="GQ13" i="7" s="1"/>
  <c r="GR13" i="7" s="1"/>
  <c r="GC13" i="7"/>
  <c r="EC19" i="7"/>
  <c r="EF19" i="7" s="1"/>
  <c r="EB19" i="7"/>
  <c r="GC17" i="7"/>
  <c r="GD17" i="7"/>
  <c r="GH17" i="7" s="1"/>
  <c r="GL17" i="7" s="1"/>
  <c r="GM17" i="7" s="1"/>
  <c r="GQ17" i="7" s="1"/>
  <c r="GR17" i="7" s="1"/>
  <c r="GL14" i="7"/>
  <c r="GM14" i="7" s="1"/>
  <c r="GQ14" i="7" s="1"/>
  <c r="GR14" i="7" s="1"/>
  <c r="GC11" i="7"/>
  <c r="GD11" i="7"/>
  <c r="GH11" i="7" s="1"/>
  <c r="GL11" i="7" s="1"/>
  <c r="GM11" i="7" s="1"/>
  <c r="GQ11" i="7" s="1"/>
  <c r="GR11" i="7" s="1"/>
  <c r="GD7" i="7"/>
  <c r="GH7" i="7" s="1"/>
  <c r="GL7" i="7" s="1"/>
  <c r="GM7" i="7" s="1"/>
  <c r="GQ7" i="7" s="1"/>
  <c r="GR7" i="7" s="1"/>
  <c r="GC7" i="7"/>
  <c r="GH16" i="7"/>
  <c r="GL16" i="7" s="1"/>
  <c r="GM16" i="7" s="1"/>
  <c r="GQ16" i="7" s="1"/>
  <c r="GR16" i="7" s="1"/>
  <c r="GD6" i="7"/>
  <c r="GH6" i="7" s="1"/>
  <c r="GL6" i="7" s="1"/>
  <c r="GM6" i="7" s="1"/>
  <c r="GQ6" i="7" s="1"/>
  <c r="GR6" i="7" s="1"/>
  <c r="GC6" i="7"/>
  <c r="C31" i="9" l="1"/>
  <c r="B31" i="9"/>
  <c r="B32" i="9" s="1"/>
  <c r="G3" i="8"/>
  <c r="F3" i="8"/>
  <c r="B23" i="9"/>
  <c r="GC19" i="7"/>
  <c r="GD19" i="7"/>
  <c r="GH19" i="7" s="1"/>
  <c r="GL19" i="7" s="1"/>
  <c r="GM19" i="7" s="1"/>
  <c r="GQ19" i="7" s="1"/>
  <c r="GR19" i="7" s="1"/>
  <c r="B33" i="9" l="1"/>
  <c r="C24" i="9"/>
  <c r="B24" i="9"/>
  <c r="B25" i="9" l="1"/>
  <c r="B26" i="9" s="1"/>
</calcChain>
</file>

<file path=xl/comments1.xml><?xml version="1.0" encoding="utf-8"?>
<comments xmlns="http://schemas.openxmlformats.org/spreadsheetml/2006/main">
  <authors>
    <author>Michael Lawson</author>
  </authors>
  <commentList>
    <comment ref="M1" authorId="0" shapeId="0">
      <text>
        <r>
          <rPr>
            <b/>
            <sz val="9"/>
            <color indexed="81"/>
            <rFont val="Tahoma"/>
            <family val="2"/>
          </rPr>
          <t>Michael Lawson:</t>
        </r>
        <r>
          <rPr>
            <sz val="9"/>
            <color indexed="81"/>
            <rFont val="Tahoma"/>
            <family val="2"/>
          </rPr>
          <t xml:space="preserve">
As measured by manufacturer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Michael Lawson:</t>
        </r>
        <r>
          <rPr>
            <sz val="9"/>
            <color indexed="81"/>
            <rFont val="Tahoma"/>
            <family val="2"/>
          </rPr>
          <t xml:space="preserve">
As measured by manufacturer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Michael Lawson: 
</t>
        </r>
        <r>
          <rPr>
            <sz val="9"/>
            <color indexed="81"/>
            <rFont val="Tahoma"/>
            <family val="2"/>
          </rPr>
          <t>As measured at treating site</t>
        </r>
      </text>
    </comment>
  </commentList>
</comments>
</file>

<file path=xl/sharedStrings.xml><?xml version="1.0" encoding="utf-8"?>
<sst xmlns="http://schemas.openxmlformats.org/spreadsheetml/2006/main" count="559" uniqueCount="292">
  <si>
    <t>LUNGS (GBq)</t>
  </si>
  <si>
    <t>Patient UR</t>
  </si>
  <si>
    <t xml:space="preserve">Patient Name </t>
  </si>
  <si>
    <t>Sex (M/F)</t>
  </si>
  <si>
    <t>DOB</t>
  </si>
  <si>
    <t>Height (cm)</t>
  </si>
  <si>
    <t>Weight (Kg)</t>
  </si>
  <si>
    <t>Patient Effective Mass (kg)</t>
  </si>
  <si>
    <t>Injected Activity as per Dose Calibrator (MBq)</t>
  </si>
  <si>
    <t>Injected Activity- Based on deay correction PET measurement (MBq)</t>
  </si>
  <si>
    <t>Pet Correction Factor</t>
  </si>
  <si>
    <t>Injection Time</t>
  </si>
  <si>
    <t>Reference Dose Preparation (Date/Time)</t>
  </si>
  <si>
    <t>Reference Dose Activity (MBq)</t>
  </si>
  <si>
    <t>Reference Source Count (Date/Time)</t>
  </si>
  <si>
    <t>Volume of Diluted Radioisotope Solution (ml)</t>
  </si>
  <si>
    <t>Reference Counts (CPM)</t>
  </si>
  <si>
    <t>Background Counts (CPM)</t>
  </si>
  <si>
    <t>Reference (MBq/ml)</t>
  </si>
  <si>
    <t>Reference Counts (Decay Corrected)</t>
  </si>
  <si>
    <t>Correction Factor</t>
  </si>
  <si>
    <t>Scan Time 1</t>
  </si>
  <si>
    <t>Whole Body Mean SUV 1 (Bq/ml)</t>
  </si>
  <si>
    <t>Volume of Whole Body 1 (cm^3)</t>
  </si>
  <si>
    <t>Δt (hours)</t>
  </si>
  <si>
    <t>Estimate Whole Body Activity (MBq) 1</t>
  </si>
  <si>
    <t>Scan Time 2</t>
  </si>
  <si>
    <t>Whole Body Mean SUV 2 (Bq/ml)</t>
  </si>
  <si>
    <t>Volume of Whole Body 2 (cm^3)</t>
  </si>
  <si>
    <t>Estimate Whole Body Activity (Bq) 2</t>
  </si>
  <si>
    <t>Scan Time 3</t>
  </si>
  <si>
    <t>Whole Body Mean SUV 3 (Bq/ml)</t>
  </si>
  <si>
    <t>Volume of Whole Body 3 (cm^3)</t>
  </si>
  <si>
    <t>Estimate Whole Body Activity (Bq) 3</t>
  </si>
  <si>
    <t>Scan Time 4</t>
  </si>
  <si>
    <t>Whole Body Mean SUV 4 (Bq/ml)</t>
  </si>
  <si>
    <t>Volume of Whole Body 4 (cm^3)</t>
  </si>
  <si>
    <t>Estimate Whole Body Activity (Bq) 4</t>
  </si>
  <si>
    <t>Scan Time 5</t>
  </si>
  <si>
    <t>Whole Body Mean SUV 5 (Bq/ml)</t>
  </si>
  <si>
    <t>Volume of Whole Body 5 (cm^3)</t>
  </si>
  <si>
    <t>Estimate Whole Body Activity (Bq) 5</t>
  </si>
  <si>
    <t>Time Bloods Taken 1</t>
  </si>
  <si>
    <t>Time Bloods Measured 1</t>
  </si>
  <si>
    <t>Counts (Background Corrected) (CPM)</t>
  </si>
  <si>
    <t>Counts (Background &amp; Decay Corrected)</t>
  </si>
  <si>
    <t>Counts (I-124 to I-131 Corrected)</t>
  </si>
  <si>
    <t>Estimate Blood Activity I124 (MBq/ml)</t>
  </si>
  <si>
    <t>Estimate Blood Activity I131 (MBq/ml)</t>
  </si>
  <si>
    <t>Time Bloods Taken 2</t>
  </si>
  <si>
    <t>Time Bloods Measured 2</t>
  </si>
  <si>
    <t>Time Bloods Taken 3</t>
  </si>
  <si>
    <t>Time Bloods Measured 3</t>
  </si>
  <si>
    <t>Time Bloods Taken 4</t>
  </si>
  <si>
    <t>Time Bloods Measured 4</t>
  </si>
  <si>
    <t>Time Bloods Taken 5</t>
  </si>
  <si>
    <t>Time Bloods Measured 5</t>
  </si>
  <si>
    <t>WB Activity 1</t>
  </si>
  <si>
    <t>WB Activity 2</t>
  </si>
  <si>
    <t>WB Activity 3</t>
  </si>
  <si>
    <t>WB Activity 4</t>
  </si>
  <si>
    <t>WB Activity 5</t>
  </si>
  <si>
    <t>Time 1</t>
  </si>
  <si>
    <t>Time 2</t>
  </si>
  <si>
    <t>Time 3</t>
  </si>
  <si>
    <t>Time 4</t>
  </si>
  <si>
    <t>Time 5</t>
  </si>
  <si>
    <t>Non-Normalised Whole Body (m)</t>
  </si>
  <si>
    <t>Non-Normalised Whole Body (b)</t>
  </si>
  <si>
    <t xml:space="preserve">Time 1 </t>
  </si>
  <si>
    <t>Time 6</t>
  </si>
  <si>
    <t>Time 7</t>
  </si>
  <si>
    <t>Time 8</t>
  </si>
  <si>
    <t>Time 9</t>
  </si>
  <si>
    <t>Time 10</t>
  </si>
  <si>
    <t>Time 11</t>
  </si>
  <si>
    <t>Time 12</t>
  </si>
  <si>
    <t>Time 13</t>
  </si>
  <si>
    <t>Time 14</t>
  </si>
  <si>
    <t>Activity 1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</si>
  <si>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</si>
  <si>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</si>
  <si>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</si>
  <si>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</si>
  <si>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</si>
  <si>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</si>
  <si>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</si>
  <si>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>Activity 9</t>
  </si>
  <si>
    <t>Activity 10</t>
  </si>
  <si>
    <t>Activity 11</t>
  </si>
  <si>
    <t>Activity 12</t>
  </si>
  <si>
    <t>Activity 13</t>
  </si>
  <si>
    <t>Activity 14</t>
  </si>
  <si>
    <t>LOGEST Normalised (m) WB</t>
  </si>
  <si>
    <t>LOGEST Normalised (b) WB</t>
  </si>
  <si>
    <t xml:space="preserve">Decay Constant WB (Bio + Phys) </t>
  </si>
  <si>
    <t>Half Life WB (Bio + Phys) (h)</t>
  </si>
  <si>
    <t>Residence Time (h) WB</t>
  </si>
  <si>
    <t>LOGEST Non-Normalised Blood (m)</t>
  </si>
  <si>
    <t>LOGEST Non-Normalised Bloods (b)</t>
  </si>
  <si>
    <t>Time 1 Blood</t>
  </si>
  <si>
    <t>Time 2 Blood</t>
  </si>
  <si>
    <t xml:space="preserve">Time 3 Blood </t>
  </si>
  <si>
    <t xml:space="preserve">Time 4 Blood </t>
  </si>
  <si>
    <t xml:space="preserve">Time 5 Blood </t>
  </si>
  <si>
    <t xml:space="preserve">Time 6 Blood </t>
  </si>
  <si>
    <t xml:space="preserve">Time 7 Blood </t>
  </si>
  <si>
    <t xml:space="preserve">Time 8 Blood </t>
  </si>
  <si>
    <t xml:space="preserve">Time 9 Blood </t>
  </si>
  <si>
    <t xml:space="preserve">Time 10 Blood </t>
  </si>
  <si>
    <t xml:space="preserve">Time 11 Blood </t>
  </si>
  <si>
    <t>Blood 12 Blood</t>
  </si>
  <si>
    <t xml:space="preserve">Time 13 Blood </t>
  </si>
  <si>
    <t xml:space="preserve">Time 14 Blood </t>
  </si>
  <si>
    <t>Time 15 Blood</t>
  </si>
  <si>
    <t>Time 16 Blood</t>
  </si>
  <si>
    <t>Time 17 Blood</t>
  </si>
  <si>
    <t>Time 18 Blood</t>
  </si>
  <si>
    <t>Activity 1 Blood</t>
  </si>
  <si>
    <t xml:space="preserve">Activity 2 Blood </t>
  </si>
  <si>
    <t xml:space="preserve">Activity 3 Blood </t>
  </si>
  <si>
    <t xml:space="preserve">Activity 4 Blood </t>
  </si>
  <si>
    <t>Activity 5 Blood</t>
  </si>
  <si>
    <t>Activity 6 Blood</t>
  </si>
  <si>
    <t xml:space="preserve">Activity 7 Blood </t>
  </si>
  <si>
    <t>Activity 8 Blood</t>
  </si>
  <si>
    <t>Activity 9 Blood</t>
  </si>
  <si>
    <t>Activity 10 Blood</t>
  </si>
  <si>
    <t>Activity 11 Blood</t>
  </si>
  <si>
    <t>Activity 12 Blood</t>
  </si>
  <si>
    <t>Activity 13 Blood</t>
  </si>
  <si>
    <t>Activity 14 Blood</t>
  </si>
  <si>
    <t>Activity 15 Blood</t>
  </si>
  <si>
    <t xml:space="preserve">Activity 16 Blood </t>
  </si>
  <si>
    <t>Activity 17 Blood</t>
  </si>
  <si>
    <t>Activity 18 Blood</t>
  </si>
  <si>
    <t>LOGEST Blood Normalised (m)</t>
  </si>
  <si>
    <t>LOGEST Blood Normalised (b)</t>
  </si>
  <si>
    <t>Decay Constant Biological Blood (h^-1)</t>
  </si>
  <si>
    <t>Biological Half Life Blood (h)</t>
  </si>
  <si>
    <t>Residence Time Blood (h)</t>
  </si>
  <si>
    <t>S(Blood&lt;- WB)</t>
  </si>
  <si>
    <t>Absorbed Dose/ Per Activity (Gy/GBq.h)</t>
  </si>
  <si>
    <t>Max Dose (GBq)</t>
  </si>
  <si>
    <t>GBq</t>
  </si>
  <si>
    <t>mCi</t>
  </si>
  <si>
    <t>Date Time 1</t>
  </si>
  <si>
    <t>Time post Injection 1</t>
  </si>
  <si>
    <t>Diameter of the Node (mm)</t>
  </si>
  <si>
    <t>Volume/ Mass of Node (g) - Assume Spherical</t>
  </si>
  <si>
    <t>Initial activity concentration (MBq/g) - C0</t>
  </si>
  <si>
    <t>Date/Time 2</t>
  </si>
  <si>
    <t>Time Post Injection 2</t>
  </si>
  <si>
    <t>Date/Time 3</t>
  </si>
  <si>
    <t>Time Post Injection 3</t>
  </si>
  <si>
    <t>Date/Time 4</t>
  </si>
  <si>
    <t>Time Post Injection 4</t>
  </si>
  <si>
    <t>Date/Time 5</t>
  </si>
  <si>
    <t>Time Post Injection 5</t>
  </si>
  <si>
    <t>M</t>
  </si>
  <si>
    <t>F</t>
  </si>
  <si>
    <t>Injected Activity Based PET - Equivalent I-131</t>
  </si>
  <si>
    <t>Estimate WB Activity - I-131  (MBq) 1</t>
  </si>
  <si>
    <t>Nodal Activity Time 1 (KBq/ml)</t>
  </si>
  <si>
    <t>Measured Volume 1 (cm^3)</t>
  </si>
  <si>
    <t>Measured Background 1 (kBq/ml)</t>
  </si>
  <si>
    <t>Nodal Activity Time 2 (KBq/ml)</t>
  </si>
  <si>
    <t>Volume Measured 2 (cm3)</t>
  </si>
  <si>
    <t>Measured Background 2 (kBq/ml)</t>
  </si>
  <si>
    <t>Nodal Activity Time 3 (KBq/ml)</t>
  </si>
  <si>
    <t>Volume Measured 3 (cm3)</t>
  </si>
  <si>
    <t>Measured Background 3 (kBq/ml)</t>
  </si>
  <si>
    <t>Nodal Activity Time 4 (KBq/ml)</t>
  </si>
  <si>
    <t>Volume Measured 4 (cm3)</t>
  </si>
  <si>
    <t>Measured Background 4 (kBq/ml)</t>
  </si>
  <si>
    <t>Nodal Activity Time 5 (KBq/ml)</t>
  </si>
  <si>
    <t>Volume Measured 5 (cm3)</t>
  </si>
  <si>
    <t>Measured Background 5 (kBq/ml)</t>
  </si>
  <si>
    <t>Activity (Decay Corrected 1)</t>
  </si>
  <si>
    <t>Activity (Decay Corrected 2)</t>
  </si>
  <si>
    <t>Activity (Decay Corrected3)</t>
  </si>
  <si>
    <t>Activity (Decay Corrected 4)</t>
  </si>
  <si>
    <t>Activity (Decay Corrected 5)</t>
  </si>
  <si>
    <t>Decay Constant (m)</t>
  </si>
  <si>
    <t>Decay Constant (b)</t>
  </si>
  <si>
    <t xml:space="preserve">
m = e^-lamba
LN(m)</t>
  </si>
  <si>
    <t>Biological Half Life</t>
  </si>
  <si>
    <t>Effective Half-Life (I-131)</t>
  </si>
  <si>
    <t>Initial Activity Concentration (b0) (kBq/ml)</t>
  </si>
  <si>
    <t>Initial Activity Concentration per Injected Activity (kBq/ml *Mbq)</t>
  </si>
  <si>
    <t>Integration Factor (Decay Constant for effective half life)</t>
  </si>
  <si>
    <t>Cumulated Activity Conc (MBq*h/ml)/MBq</t>
  </si>
  <si>
    <t>I-131 Dose Factor (mGy*ml/MBq*h)</t>
  </si>
  <si>
    <t>Dose per mGy/MBq</t>
  </si>
  <si>
    <t>Dose per Gy/MBq</t>
  </si>
  <si>
    <t>Dose Required for 80Gy to Tumour (GBq)</t>
  </si>
  <si>
    <t>Oneli Dissanayake</t>
  </si>
  <si>
    <t>T2</t>
  </si>
  <si>
    <t>Name</t>
  </si>
  <si>
    <t>Value</t>
  </si>
  <si>
    <t>Units</t>
  </si>
  <si>
    <t>Reference</t>
  </si>
  <si>
    <t>124 Halflife</t>
  </si>
  <si>
    <t>h</t>
  </si>
  <si>
    <t>131 Halflife</t>
  </si>
  <si>
    <t>I124 Decay Constant</t>
  </si>
  <si>
    <r>
      <t>h</t>
    </r>
    <r>
      <rPr>
        <vertAlign val="superscript"/>
        <sz val="11"/>
        <color theme="1"/>
        <rFont val="Calibri"/>
        <family val="2"/>
        <scheme val="minor"/>
      </rPr>
      <t>-1</t>
    </r>
  </si>
  <si>
    <t>I131 Decay Constant</t>
  </si>
  <si>
    <t>Maximum Safe Dose WB</t>
  </si>
  <si>
    <t>Maximum Safe Dose Bone Marrow</t>
  </si>
  <si>
    <t>Gy</t>
  </si>
  <si>
    <t>S (blood &lt;- blood)</t>
  </si>
  <si>
    <r>
      <t>Lassmann, M., Hänscheid, H., Chiesa, C., Hindorf, C., Flux, G., &amp; Luster, M. (2008). EANM Dosimetry Committee series on standard operational procedures for pre-therapeutic dosimetry I: blood and bone marrow dosimetry in differentiated thyroid cancer therapy. </t>
    </r>
    <r>
      <rPr>
        <i/>
        <sz val="10"/>
        <color rgb="FF222222"/>
        <rFont val="Arial"/>
        <family val="2"/>
      </rPr>
      <t>European journal of nuclear medicine and molecular imaging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35</t>
    </r>
    <r>
      <rPr>
        <sz val="10"/>
        <color rgb="FF222222"/>
        <rFont val="Arial"/>
        <family val="2"/>
      </rPr>
      <t>, 1405-1412.</t>
    </r>
  </si>
  <si>
    <t>S (blood &lt;- WB)</t>
  </si>
  <si>
    <t>S(BM-Blood)</t>
  </si>
  <si>
    <t>S (BM - WB)</t>
  </si>
  <si>
    <t>Month</t>
  </si>
  <si>
    <t>Time</t>
  </si>
  <si>
    <t xml:space="preserve">Time </t>
  </si>
  <si>
    <t>Blood Activity (Mbq/ml)</t>
  </si>
  <si>
    <t>WB Activity</t>
  </si>
  <si>
    <t>Blood Activity (Mbq/ml.Mbq)</t>
  </si>
  <si>
    <t>Normalised WB Activity</t>
  </si>
  <si>
    <t>"18/11/2018"</t>
  </si>
  <si>
    <t>Blood 1</t>
  </si>
  <si>
    <t>Activity</t>
  </si>
  <si>
    <t>Normalised Activity</t>
  </si>
  <si>
    <t>"18/01/2021"</t>
  </si>
  <si>
    <t>Blood 2</t>
  </si>
  <si>
    <t xml:space="preserve">"15/02/2021" </t>
  </si>
  <si>
    <t xml:space="preserve">Trendline </t>
  </si>
  <si>
    <t>Use this sheet only if you want a less conservative bone marrow estimate</t>
  </si>
  <si>
    <t>If the term is in lower case letter, it denotes a patient specific value (eg. m_tb is total body mass of patient)</t>
  </si>
  <si>
    <t>If the term is in upper case letter, it denotes a phantom/reference specific value (eg. m_TB is total body mass of phantom/reference)</t>
  </si>
  <si>
    <t>Methodology is from Traino et. Al</t>
  </si>
  <si>
    <t>Traino, A. C., Ferrari, M., Cremonesi, M., &amp; Stabin, M. G. (2007). Influence of total-body mass on the scaling of S-factors for patient-specific, blood-based red-marrow dosimetry. Physics in medicine and biology, 52(17), 5231–5248. https://doi.org/10.1088/0031-9155/52/17/009</t>
  </si>
  <si>
    <t>Patient</t>
  </si>
  <si>
    <t>[A_bl]</t>
  </si>
  <si>
    <t>(MBq.s)/kg</t>
  </si>
  <si>
    <t>A_tb</t>
  </si>
  <si>
    <t>MBq.s</t>
  </si>
  <si>
    <t>m_RB</t>
  </si>
  <si>
    <t>kg</t>
  </si>
  <si>
    <t>(eqn 4)</t>
  </si>
  <si>
    <t>m_RM</t>
  </si>
  <si>
    <t>Table 2</t>
  </si>
  <si>
    <t>m_tb</t>
  </si>
  <si>
    <t>Patient Specific</t>
  </si>
  <si>
    <t>m_TB</t>
  </si>
  <si>
    <t>Table 1</t>
  </si>
  <si>
    <t>RMBLR</t>
  </si>
  <si>
    <t>1 for I-131</t>
  </si>
  <si>
    <t>S(RM&lt;-RM)</t>
  </si>
  <si>
    <t>mGy / (MBq.s)</t>
  </si>
  <si>
    <t>S(RM&lt;-TB)</t>
  </si>
  <si>
    <t>x_1</t>
  </si>
  <si>
    <t>Table 3</t>
  </si>
  <si>
    <t>x_2</t>
  </si>
  <si>
    <t>x_3</t>
  </si>
  <si>
    <t xml:space="preserve">Result eqn15 = </t>
  </si>
  <si>
    <t>(eqn 15)</t>
  </si>
  <si>
    <t>MBq</t>
  </si>
  <si>
    <t>Note: Don't forget to check if patient is a paediatric patient or not, to apply more conservative dose constraints</t>
  </si>
  <si>
    <t>Patient:</t>
  </si>
  <si>
    <t>WHOLE BODY</t>
  </si>
  <si>
    <t>T1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</si>
  <si>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</si>
  <si>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</si>
  <si>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</si>
  <si>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</si>
  <si>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</si>
  <si>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</si>
  <si>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</si>
  <si>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</si>
  <si>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</si>
  <si>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</si>
  <si>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</si>
  <si>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</si>
  <si>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Measured</t>
  </si>
  <si>
    <t/>
  </si>
  <si>
    <t>Normalised</t>
  </si>
  <si>
    <t>BLOODS</t>
  </si>
  <si>
    <t>Lung Limit</t>
  </si>
  <si>
    <t>Blood Limit</t>
  </si>
  <si>
    <t>mGy</t>
  </si>
  <si>
    <t xml:space="preserve">Result eqn 8 = </t>
  </si>
  <si>
    <t>(eqn 8)</t>
  </si>
  <si>
    <t>EQUATION 8 is the equation generally used for the patient specific blood based red marrow dose calculation</t>
  </si>
  <si>
    <t>Equation 15 takes in non-linear S factor scaling based on patient factors</t>
  </si>
  <si>
    <t>Effective Half-Life Blood(Bio+Phys) (h) for I-131</t>
  </si>
  <si>
    <t>abcd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</si>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</sst>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"/>
    <numFmt numFmtId="165" formatCode="0.0000"/>
    <numFmt numFmtId="166" formatCode="0.000"/>
    <numFmt numFmtId="167" formatCode="0.0000000"/>
    <numFmt numFmtId="168" formatCode="0.00000000"/>
    <numFmt numFmtId="169" formatCode="0.000000000"/>
    <numFmt numFmtId="170" formatCode="0.00000"/>
    <numFmt numFmtId="171" formatCode="0.000000"/>
    <numFmt numFmtId="172" formatCode="d/mm/yyyy\ hh:mm"/>
  </numFmts>
  <fonts count="1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8" fillId="3" borderId="17" applyNumberFormat="0" applyAlignment="0" applyProtection="0"/>
    <xf numFmtId="0" fontId="13" fillId="5" borderId="28" applyNumberFormat="0" applyFont="0" applyAlignment="0" applyProtection="0"/>
    <xf numFmtId="0" fontId="14" fillId="6" borderId="0" applyNumberFormat="0" applyBorder="0" applyAlignment="0" applyProtection="0"/>
  </cellStyleXfs>
  <cellXfs count="100">
    <xf numFmtId="0" fontId="0" fillId="0" borderId="0" xfId="0"/>
    <xf numFmtId="0" fontId="1" fillId="2" borderId="1" xfId="1"/>
    <xf numFmtId="0" fontId="2" fillId="3" borderId="1" xfId="2"/>
    <xf numFmtId="0" fontId="1" fillId="2" borderId="2" xfId="1" applyBorder="1"/>
    <xf numFmtId="0" fontId="1" fillId="2" borderId="11" xfId="1" applyBorder="1"/>
    <xf numFmtId="0" fontId="1" fillId="2" borderId="13" xfId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22" fontId="1" fillId="2" borderId="1" xfId="1" applyNumberFormat="1" applyAlignment="1">
      <alignment horizontal="center"/>
    </xf>
    <xf numFmtId="1" fontId="2" fillId="3" borderId="1" xfId="2" applyNumberFormat="1"/>
    <xf numFmtId="166" fontId="2" fillId="3" borderId="1" xfId="2" applyNumberFormat="1"/>
    <xf numFmtId="165" fontId="2" fillId="3" borderId="1" xfId="2" applyNumberFormat="1"/>
    <xf numFmtId="22" fontId="1" fillId="2" borderId="2" xfId="1" applyNumberFormat="1" applyBorder="1" applyAlignment="1">
      <alignment horizontal="center"/>
    </xf>
    <xf numFmtId="22" fontId="1" fillId="2" borderId="8" xfId="1" applyNumberFormat="1" applyBorder="1" applyAlignment="1">
      <alignment horizontal="center"/>
    </xf>
    <xf numFmtId="0" fontId="2" fillId="3" borderId="9" xfId="2" applyBorder="1"/>
    <xf numFmtId="22" fontId="1" fillId="2" borderId="10" xfId="1" applyNumberFormat="1" applyBorder="1" applyAlignment="1">
      <alignment horizontal="center"/>
    </xf>
    <xf numFmtId="0" fontId="2" fillId="3" borderId="11" xfId="2" applyBorder="1"/>
    <xf numFmtId="166" fontId="2" fillId="3" borderId="15" xfId="2" applyNumberFormat="1" applyBorder="1"/>
    <xf numFmtId="1" fontId="1" fillId="2" borderId="1" xfId="1" applyNumberFormat="1"/>
    <xf numFmtId="0" fontId="3" fillId="0" borderId="0" xfId="0" applyFont="1" applyAlignment="1">
      <alignment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2" fontId="0" fillId="0" borderId="0" xfId="0" applyNumberFormat="1"/>
    <xf numFmtId="1" fontId="0" fillId="0" borderId="0" xfId="0" applyNumberFormat="1"/>
    <xf numFmtId="0" fontId="3" fillId="0" borderId="18" xfId="0" applyFont="1" applyBorder="1" applyAlignment="1">
      <alignment wrapText="1"/>
    </xf>
    <xf numFmtId="0" fontId="1" fillId="2" borderId="19" xfId="1" applyBorder="1"/>
    <xf numFmtId="0" fontId="1" fillId="2" borderId="15" xfId="1" applyBorder="1"/>
    <xf numFmtId="0" fontId="1" fillId="2" borderId="20" xfId="1" applyBorder="1"/>
    <xf numFmtId="0" fontId="1" fillId="2" borderId="12" xfId="1" applyBorder="1"/>
    <xf numFmtId="0" fontId="0" fillId="4" borderId="0" xfId="0" applyFill="1"/>
    <xf numFmtId="0" fontId="3" fillId="0" borderId="12" xfId="0" applyFont="1" applyBorder="1"/>
    <xf numFmtId="0" fontId="2" fillId="3" borderId="12" xfId="2" applyBorder="1"/>
    <xf numFmtId="0" fontId="3" fillId="0" borderId="14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2" fillId="3" borderId="14" xfId="2" applyBorder="1"/>
    <xf numFmtId="0" fontId="2" fillId="3" borderId="23" xfId="2" applyBorder="1"/>
    <xf numFmtId="0" fontId="2" fillId="3" borderId="24" xfId="2" applyBorder="1"/>
    <xf numFmtId="0" fontId="3" fillId="0" borderId="3" xfId="0" applyFont="1" applyBorder="1" applyAlignment="1">
      <alignment wrapText="1"/>
    </xf>
    <xf numFmtId="167" fontId="0" fillId="4" borderId="0" xfId="0" applyNumberFormat="1" applyFill="1"/>
    <xf numFmtId="14" fontId="1" fillId="2" borderId="13" xfId="1" applyNumberFormat="1" applyBorder="1"/>
    <xf numFmtId="14" fontId="1" fillId="2" borderId="1" xfId="1" applyNumberFormat="1"/>
    <xf numFmtId="22" fontId="1" fillId="2" borderId="2" xfId="1" applyNumberFormat="1" applyBorder="1"/>
    <xf numFmtId="22" fontId="1" fillId="2" borderId="1" xfId="1" applyNumberFormat="1"/>
    <xf numFmtId="14" fontId="0" fillId="0" borderId="0" xfId="0" applyNumberFormat="1"/>
    <xf numFmtId="164" fontId="9" fillId="3" borderId="17" xfId="3" applyNumberFormat="1" applyFont="1" applyAlignment="1">
      <alignment horizontal="center"/>
    </xf>
    <xf numFmtId="0" fontId="9" fillId="3" borderId="17" xfId="3" applyFont="1" applyAlignment="1">
      <alignment horizontal="center"/>
    </xf>
    <xf numFmtId="167" fontId="0" fillId="0" borderId="0" xfId="0" applyNumberFormat="1"/>
    <xf numFmtId="0" fontId="2" fillId="3" borderId="1" xfId="2" applyNumberFormat="1"/>
    <xf numFmtId="168" fontId="2" fillId="3" borderId="1" xfId="2" applyNumberFormat="1"/>
    <xf numFmtId="168" fontId="0" fillId="0" borderId="0" xfId="0" applyNumberFormat="1"/>
    <xf numFmtId="169" fontId="0" fillId="0" borderId="0" xfId="0" applyNumberFormat="1"/>
    <xf numFmtId="22" fontId="2" fillId="3" borderId="1" xfId="2" applyNumberFormat="1"/>
    <xf numFmtId="0" fontId="1" fillId="2" borderId="1" xfId="1" applyNumberFormat="1"/>
    <xf numFmtId="14" fontId="1" fillId="2" borderId="11" xfId="1" applyNumberFormat="1" applyBorder="1"/>
    <xf numFmtId="165" fontId="2" fillId="3" borderId="15" xfId="2" applyNumberFormat="1" applyBorder="1"/>
    <xf numFmtId="167" fontId="2" fillId="3" borderId="1" xfId="2" applyNumberFormat="1"/>
    <xf numFmtId="167" fontId="2" fillId="3" borderId="15" xfId="2" applyNumberFormat="1" applyBorder="1"/>
    <xf numFmtId="164" fontId="2" fillId="3" borderId="1" xfId="2" applyNumberFormat="1"/>
    <xf numFmtId="170" fontId="0" fillId="4" borderId="12" xfId="0" applyNumberFormat="1" applyFill="1" applyBorder="1"/>
    <xf numFmtId="170" fontId="0" fillId="4" borderId="24" xfId="0" applyNumberFormat="1" applyFill="1" applyBorder="1"/>
    <xf numFmtId="0" fontId="0" fillId="4" borderId="21" xfId="0" applyFill="1" applyBorder="1"/>
    <xf numFmtId="0" fontId="1" fillId="2" borderId="25" xfId="1" applyBorder="1"/>
    <xf numFmtId="0" fontId="1" fillId="2" borderId="16" xfId="1" applyBorder="1"/>
    <xf numFmtId="171" fontId="0" fillId="4" borderId="0" xfId="0" applyNumberFormat="1" applyFill="1"/>
    <xf numFmtId="171" fontId="0" fillId="0" borderId="0" xfId="0" applyNumberFormat="1"/>
    <xf numFmtId="171" fontId="0" fillId="4" borderId="21" xfId="0" applyNumberFormat="1" applyFill="1" applyBorder="1"/>
    <xf numFmtId="2" fontId="2" fillId="3" borderId="1" xfId="2" applyNumberFormat="1"/>
    <xf numFmtId="0" fontId="2" fillId="3" borderId="15" xfId="2" applyBorder="1"/>
    <xf numFmtId="170" fontId="0" fillId="4" borderId="26" xfId="0" applyNumberFormat="1" applyFill="1" applyBorder="1"/>
    <xf numFmtId="0" fontId="0" fillId="4" borderId="12" xfId="0" applyFill="1" applyBorder="1"/>
    <xf numFmtId="0" fontId="2" fillId="3" borderId="2" xfId="2" applyBorder="1"/>
    <xf numFmtId="168" fontId="2" fillId="3" borderId="15" xfId="2" applyNumberFormat="1" applyBorder="1"/>
    <xf numFmtId="22" fontId="1" fillId="2" borderId="1" xfId="1" applyNumberFormat="1" applyAlignment="1">
      <alignment horizontal="left"/>
    </xf>
    <xf numFmtId="171" fontId="2" fillId="3" borderId="1" xfId="2" applyNumberFormat="1"/>
    <xf numFmtId="172" fontId="1" fillId="2" borderId="1" xfId="1" applyNumberFormat="1"/>
    <xf numFmtId="0" fontId="1" fillId="2" borderId="1" xfId="1" applyAlignment="1">
      <alignment horizontal="right" vertical="center"/>
    </xf>
    <xf numFmtId="0" fontId="1" fillId="2" borderId="27" xfId="1" applyBorder="1"/>
    <xf numFmtId="0" fontId="11" fillId="0" borderId="0" xfId="0" applyFont="1"/>
    <xf numFmtId="0" fontId="3" fillId="0" borderId="0" xfId="0" applyFont="1"/>
    <xf numFmtId="0" fontId="2" fillId="3" borderId="27" xfId="2" applyBorder="1"/>
    <xf numFmtId="0" fontId="0" fillId="5" borderId="28" xfId="4" applyFont="1"/>
    <xf numFmtId="11" fontId="0" fillId="0" borderId="0" xfId="0" applyNumberFormat="1"/>
    <xf numFmtId="0" fontId="14" fillId="6" borderId="0" xfId="5" applyNumberFormat="1"/>
    <xf numFmtId="0" fontId="14" fillId="6" borderId="0" xfId="5"/>
    <xf numFmtId="0" fontId="0" fillId="0" borderId="0" xfId="0" applyAlignment="1">
      <alignment wrapText="1"/>
    </xf>
    <xf numFmtId="0" fontId="15" fillId="0" borderId="7" xfId="0" applyFont="1" applyBorder="1" applyAlignment="1">
      <alignment wrapText="1"/>
    </xf>
    <xf numFmtId="14" fontId="1" fillId="2" borderId="1" xfId="1" applyNumberFormat="1" applyAlignment="1">
      <alignment horizontal="right"/>
    </xf>
    <xf numFmtId="2" fontId="9" fillId="3" borderId="17" xfId="3" applyNumberFormat="1" applyFont="1" applyAlignment="1">
      <alignment horizontal="center"/>
    </xf>
    <xf numFmtId="0" fontId="10" fillId="0" borderId="0" xfId="0" applyFont="1"/>
    <xf numFmtId="0" fontId="0" fillId="0" borderId="0" xfId="0" applyNumberFormat="1"/>
    <xf numFmtId="164" fontId="8" fillId="3" borderId="17" xfId="3" applyNumberFormat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6">
    <cellStyle name="Calculation" xfId="2" builtinId="22"/>
    <cellStyle name="Good" xfId="5" builtinId="26"/>
    <cellStyle name="Input" xfId="1" builtinId="20"/>
    <cellStyle name="Normal" xfId="0" builtinId="0"/>
    <cellStyle name="Note" xfId="4" builtinId="10"/>
    <cellStyle name="Output" xfId="3" builtinId="21"/>
  </cellStyles>
  <dxfs count="0"/>
  <tableStyles count="0" defaultTableStyle="TableStyleMedium2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Predicted I-131 Blood Activity Curve based on I-124 Blood Activity</a:t>
            </a:r>
            <a:endParaRPr lang="en-AU">
              <a:effectLst/>
            </a:endParaRPr>
          </a:p>
        </c:rich>
      </c:tx>
      <c:layout>
        <c:manualLayout>
          <c:xMode val="edge"/>
          <c:yMode val="edge"/>
          <c:x val="0.16486920350001036"/>
          <c:y val="3.8374078633623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chemeClr val="tx1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'Inputs-new'!$ES$18:$FJ$18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50</c:v>
                </c:pt>
                <c:pt idx="11">
                  <c:v>58</c:v>
                </c:pt>
                <c:pt idx="12">
                  <c:v>66</c:v>
                </c:pt>
                <c:pt idx="13">
                  <c:v>72</c:v>
                </c:pt>
                <c:pt idx="14">
                  <c:v>78</c:v>
                </c:pt>
                <c:pt idx="15">
                  <c:v>84</c:v>
                </c:pt>
                <c:pt idx="16">
                  <c:v>90</c:v>
                </c:pt>
                <c:pt idx="17">
                  <c:v>96</c:v>
                </c:pt>
              </c:numCache>
            </c:numRef>
          </c:xVal>
          <c:yVal>
            <c:numRef>
              <c:f>'Inputs-new'!$FK$18:$GB$18</c:f>
              <c:numCache>
                <c:formatCode>0.00000000</c:formatCode>
                <c:ptCount val="18"/>
                <c:pt idx="0">
                  <c:v>8.124565891771916E-5</c:v>
                </c:pt>
                <c:pt idx="1">
                  <c:v>7.8310704032942487E-5</c:v>
                </c:pt>
                <c:pt idx="2">
                  <c:v>7.5481772784264306E-5</c:v>
                </c:pt>
                <c:pt idx="3">
                  <c:v>6.7593507190955875E-5</c:v>
                </c:pt>
                <c:pt idx="4">
                  <c:v>5.8343010330386517E-5</c:v>
                </c:pt>
                <c:pt idx="5">
                  <c:v>5.2245840854589989E-5</c:v>
                </c:pt>
                <c:pt idx="6">
                  <c:v>5.0358488497946082E-5</c:v>
                </c:pt>
                <c:pt idx="7">
                  <c:v>4.3466686916512543E-5</c:v>
                </c:pt>
                <c:pt idx="8">
                  <c:v>3.7518061559277779E-5</c:v>
                </c:pt>
                <c:pt idx="9">
                  <c:v>3.3597215198507414E-5</c:v>
                </c:pt>
                <c:pt idx="10">
                  <c:v>3.2383534219421322E-5</c:v>
                </c:pt>
                <c:pt idx="11">
                  <c:v>2.7951691664120679E-5</c:v>
                </c:pt>
                <c:pt idx="12">
                  <c:v>2.4126368097818918E-5</c:v>
                </c:pt>
                <c:pt idx="13">
                  <c:v>2.1605028278450054E-5</c:v>
                </c:pt>
                <c:pt idx="14">
                  <c:v>1.9347182510857247E-5</c:v>
                </c:pt>
                <c:pt idx="15">
                  <c:v>1.7325294199303578E-5</c:v>
                </c:pt>
                <c:pt idx="16">
                  <c:v>1.5514704475650406E-5</c:v>
                </c:pt>
                <c:pt idx="17">
                  <c:v>1.3893331460798078E-5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BCB-404A-8718-4CBC8E461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96024"/>
        <c:axId val="188694456"/>
      </c:scatterChart>
      <c:valAx>
        <c:axId val="1886960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Time Post Injection (h)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4456"/>
        <c:crosses val="autoZero"/>
        <c:crossBetween val="midCat"/>
      </c:valAx>
      <c:valAx>
        <c:axId val="1886944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Normalised Blood</a:t>
                </a:r>
                <a:r>
                  <a:rPr lang="en-AU" baseline="0">
                    <a:solidFill>
                      <a:sysClr val="windowText" lastClr="000000"/>
                    </a:solidFill>
                  </a:rPr>
                  <a:t> Activity (MBq/ml)</a:t>
                </a:r>
                <a:endParaRPr lang="en-AU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60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ysClr val="windowText" lastClr="000000"/>
                </a:solidFill>
              </a:rPr>
              <a:t>Blood Time Activity Curve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0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ADA-4B49-9B14-4312D6C0F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98768"/>
        <c:axId val="188698376"/>
      </c:scatterChart>
      <c:valAx>
        <c:axId val="18869876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Time Post Injection (h)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8376"/>
        <c:crosses val="autoZero"/>
        <c:crossBetween val="midCat"/>
      </c:valAx>
      <c:valAx>
        <c:axId val="1886983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Blood</a:t>
                </a:r>
                <a:r>
                  <a:rPr lang="en-AU" baseline="0">
                    <a:solidFill>
                      <a:sysClr val="windowText" lastClr="000000"/>
                    </a:solidFill>
                  </a:rPr>
                  <a:t> Activity (MBq/(ml.MBq)</a:t>
                </a:r>
                <a:endParaRPr lang="en-AU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Nodule Activity Concentration I-124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462332580669181E-2"/>
          <c:y val="0.10377079012169302"/>
          <c:w val="0.90913987382127526"/>
          <c:h val="0.7779830699394141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exp"/>
            <c:forward val="40"/>
            <c:backward val="15"/>
            <c:dispRSqr val="0"/>
            <c:dispEq val="0"/>
          </c:trendline>
          <c:xVal>
            <c:numRef>
              <c:f>'Inputs-new'!$HV$24:$HW$24</c:f>
              <c:numCache>
                <c:formatCode>0.00</c:formatCode>
                <c:ptCount val="2"/>
                <c:pt idx="0">
                  <c:v>41.350833333330229</c:v>
                </c:pt>
                <c:pt idx="1">
                  <c:v>88.48555555549683</c:v>
                </c:pt>
              </c:numCache>
            </c:numRef>
          </c:xVal>
          <c:yVal>
            <c:numRef>
              <c:f>'Inputs-new'!$IA$24:$IB$24</c:f>
              <c:numCache>
                <c:formatCode>General</c:formatCode>
                <c:ptCount val="2"/>
                <c:pt idx="0">
                  <c:v>4058.8579280753352</c:v>
                </c:pt>
                <c:pt idx="1">
                  <c:v>3038.0533270876954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13A-4F32-9709-FEB040C36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99552"/>
        <c:axId val="188699944"/>
      </c:scatterChart>
      <c:valAx>
        <c:axId val="18869955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Time Post Injection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9944"/>
        <c:crosses val="autoZero"/>
        <c:crossBetween val="midCat"/>
      </c:valAx>
      <c:valAx>
        <c:axId val="1886999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>
                    <a:solidFill>
                      <a:sysClr val="windowText" lastClr="000000"/>
                    </a:solidFill>
                  </a:rPr>
                  <a:t>Activity</a:t>
                </a:r>
                <a:r>
                  <a:rPr lang="en-AU" sz="1200" baseline="0">
                    <a:solidFill>
                      <a:sysClr val="windowText" lastClr="000000"/>
                    </a:solidFill>
                  </a:rPr>
                  <a:t> Concentration in Nodule (kBq/ml)</a:t>
                </a:r>
                <a:endParaRPr lang="en-AU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462332580669181E-2"/>
          <c:y val="0.10377079012169302"/>
          <c:w val="0.90913987382127526"/>
          <c:h val="0.77798306993941413"/>
        </c:manualLayout>
      </c:layout>
      <c:scatterChart>
        <c:scatterStyle val="lineMarker"/>
        <c:varyColors val="0"/>
        <c:ser>
          <c:idx val="0"/>
          <c:order val="0"/>
          <c:tx>
            <c:v>Nodule Activity Concentration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exp"/>
            <c:forward val="40"/>
            <c:backward val="15"/>
            <c:intercept val="20.919999999999998"/>
            <c:dispRSqr val="0"/>
            <c:dispEq val="0"/>
          </c:trendline>
          <c:xVal>
            <c:numRef>
              <c:f>'Inputs-new'!$HV$9:$HX$9</c:f>
              <c:numCache>
                <c:formatCode>0.00</c:formatCode>
                <c:ptCount val="3"/>
                <c:pt idx="0">
                  <c:v>15.616666666581295</c:v>
                </c:pt>
                <c:pt idx="1">
                  <c:v>39.566666666592937</c:v>
                </c:pt>
                <c:pt idx="2">
                  <c:v>63.049999999988358</c:v>
                </c:pt>
              </c:numCache>
            </c:numRef>
          </c:xVal>
          <c:yVal>
            <c:numRef>
              <c:f>'Inputs-new'!$IA$9:$IC$9</c:f>
              <c:numCache>
                <c:formatCode>General</c:formatCode>
                <c:ptCount val="3"/>
                <c:pt idx="0">
                  <c:v>16.241337468187798</c:v>
                </c:pt>
                <c:pt idx="1">
                  <c:v>10.520456964605929</c:v>
                </c:pt>
                <c:pt idx="2">
                  <c:v>7.9139526498080182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803-4368-84D2-664A525AA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118256"/>
        <c:axId val="441113944"/>
      </c:scatterChart>
      <c:valAx>
        <c:axId val="44111825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Time Post Injection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3944"/>
        <c:crosses val="autoZero"/>
        <c:crossBetween val="midCat"/>
      </c:valAx>
      <c:valAx>
        <c:axId val="4411139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>
                    <a:solidFill>
                      <a:sysClr val="windowText" lastClr="000000"/>
                    </a:solidFill>
                  </a:rPr>
                  <a:t>Activity</a:t>
                </a:r>
                <a:r>
                  <a:rPr lang="en-AU" sz="1200" baseline="0">
                    <a:solidFill>
                      <a:sysClr val="windowText" lastClr="000000"/>
                    </a:solidFill>
                  </a:rPr>
                  <a:t> Concentration in Nodule (kBq/ml)</a:t>
                </a:r>
                <a:endParaRPr lang="en-AU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Predicted I-131 WB Activity Curve based on I-124 WB</a:t>
            </a:r>
            <a:r>
              <a:rPr lang="en-US" baseline="0">
                <a:solidFill>
                  <a:sysClr val="windowText" lastClr="000000"/>
                </a:solidFill>
              </a:rPr>
              <a:t> Activity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'Inputs-new'!$CS$18:$CV$18</c:f>
              <c:numCache>
                <c:formatCode>General</c:formatCode>
                <c:ptCount val="4"/>
                <c:pt idx="0">
                  <c:v>1.9333333333488554</c:v>
                </c:pt>
                <c:pt idx="1">
                  <c:v>15.833333333430346</c:v>
                </c:pt>
                <c:pt idx="2">
                  <c:v>39.733333333279006</c:v>
                </c:pt>
                <c:pt idx="3">
                  <c:v>63.899999999965075</c:v>
                </c:pt>
              </c:numCache>
            </c:numRef>
          </c:xVal>
          <c:yVal>
            <c:numRef>
              <c:f>'Inputs-new'!$CN$18:$CQ$18</c:f>
              <c:numCache>
                <c:formatCode>General</c:formatCode>
                <c:ptCount val="4"/>
                <c:pt idx="0">
                  <c:v>55.166118524651765</c:v>
                </c:pt>
                <c:pt idx="1">
                  <c:v>40.427999125415774</c:v>
                </c:pt>
                <c:pt idx="2">
                  <c:v>24.648775283516684</c:v>
                </c:pt>
                <c:pt idx="3">
                  <c:v>18.270912395843396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22-4A2E-920B-ED93F4358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112376"/>
        <c:axId val="441114728"/>
      </c:scatterChart>
      <c:valAx>
        <c:axId val="4411123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Tim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e (hours)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4728"/>
        <c:crosses val="autoZero"/>
        <c:crossBetween val="midCat"/>
      </c:valAx>
      <c:valAx>
        <c:axId val="44111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Activity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(MBq)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237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Predicted I-131 Blood Activity Curve based on I-124 Blood</a:t>
            </a:r>
            <a:r>
              <a:rPr lang="en-US" baseline="0">
                <a:solidFill>
                  <a:sysClr val="windowText" lastClr="000000"/>
                </a:solidFill>
              </a:rPr>
              <a:t> Activity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Blood Activity Curve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'Inputs-new'!$EL$16:$EO$16</c:f>
              <c:numCache>
                <c:formatCode>0</c:formatCode>
                <c:ptCount val="4"/>
                <c:pt idx="0">
                  <c:v>1.4833333334536292</c:v>
                </c:pt>
                <c:pt idx="1">
                  <c:v>16.700000000128057</c:v>
                </c:pt>
                <c:pt idx="2">
                  <c:v>41.733333333337214</c:v>
                </c:pt>
                <c:pt idx="3">
                  <c:v>64.78333333338378</c:v>
                </c:pt>
              </c:numCache>
            </c:numRef>
          </c:xVal>
          <c:yVal>
            <c:numRef>
              <c:f>'Inputs-new'!$EG$16:$EJ$16</c:f>
              <c:numCache>
                <c:formatCode>General</c:formatCode>
                <c:ptCount val="4"/>
                <c:pt idx="0">
                  <c:v>3.8805276452419132E-3</c:v>
                </c:pt>
                <c:pt idx="1">
                  <c:v>1.5073620024821336E-3</c:v>
                </c:pt>
                <c:pt idx="2">
                  <c:v>9.6244301959245277E-4</c:v>
                </c:pt>
                <c:pt idx="3">
                  <c:v>7.681269666480131E-4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5E-4268-AEAD-EFB28CE0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115904"/>
        <c:axId val="441112768"/>
      </c:scatterChart>
      <c:valAx>
        <c:axId val="44111590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Tim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e (hours)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2768"/>
        <c:crosses val="autoZero"/>
        <c:crossBetween val="midCat"/>
      </c:valAx>
      <c:valAx>
        <c:axId val="4411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Activity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(MBq)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590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Predicted I-131 WB Activity Curve based on I-124 WB</a:t>
            </a:r>
            <a:r>
              <a:rPr lang="en-US" baseline="0">
                <a:solidFill>
                  <a:sysClr val="windowText" lastClr="000000"/>
                </a:solidFill>
              </a:rPr>
              <a:t> Activity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'Inputs-new'!$CZ$18:$DM$18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50</c:v>
                </c:pt>
                <c:pt idx="11">
                  <c:v>58</c:v>
                </c:pt>
                <c:pt idx="12">
                  <c:v>66</c:v>
                </c:pt>
                <c:pt idx="13">
                  <c:v>74</c:v>
                </c:pt>
              </c:numCache>
            </c:numRef>
          </c:xVal>
          <c:yVal>
            <c:numRef>
              <c:f>'Inputs-new'!$DN$18:$EA$18</c:f>
              <c:numCache>
                <c:formatCode>General</c:formatCode>
                <c:ptCount val="14"/>
                <c:pt idx="0">
                  <c:v>0.98339316844249869</c:v>
                </c:pt>
                <c:pt idx="1">
                  <c:v>0.94866548946411033</c:v>
                </c:pt>
                <c:pt idx="2">
                  <c:v>0.91516418842480818</c:v>
                </c:pt>
                <c:pt idx="3">
                  <c:v>0.8215930611793375</c:v>
                </c:pt>
                <c:pt idx="4">
                  <c:v>0.71154180865095296</c:v>
                </c:pt>
                <c:pt idx="5">
                  <c:v>0.6387900882931572</c:v>
                </c:pt>
                <c:pt idx="6">
                  <c:v>0.6162317689629998</c:v>
                </c:pt>
                <c:pt idx="7">
                  <c:v>0.53368837707405947</c:v>
                </c:pt>
                <c:pt idx="8">
                  <c:v>0.46220155819497355</c:v>
                </c:pt>
                <c:pt idx="9">
                  <c:v>0.41494367664548137</c:v>
                </c:pt>
                <c:pt idx="10">
                  <c:v>0.40029029968590868</c:v>
                </c:pt>
                <c:pt idx="11">
                  <c:v>0.3466719684987361</c:v>
                </c:pt>
                <c:pt idx="12">
                  <c:v>0.30023573850550489</c:v>
                </c:pt>
                <c:pt idx="13">
                  <c:v>0.26001957719946012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2F4-4D41-BFB4-BC31ED9A7AEC}"/>
            </c:ext>
          </c:extLst>
        </c:ser>
        <c:ser>
          <c:idx val="1"/>
          <c:order val="1"/>
          <c:tx>
            <c:v>Measured Activity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'Inputs-new'!$CS$18:$CV$18</c:f>
              <c:numCache>
                <c:formatCode>General</c:formatCode>
                <c:ptCount val="4"/>
                <c:pt idx="0">
                  <c:v>1.9333333333488554</c:v>
                </c:pt>
                <c:pt idx="1">
                  <c:v>15.833333333430346</c:v>
                </c:pt>
                <c:pt idx="2">
                  <c:v>39.733333333279006</c:v>
                </c:pt>
                <c:pt idx="3">
                  <c:v>63.899999999965075</c:v>
                </c:pt>
              </c:numCache>
            </c:numRef>
          </c:xVal>
          <c:yVal>
            <c:numRef>
              <c:f>'Inputs-new'!$CN$18:$CQ$18</c:f>
              <c:numCache>
                <c:formatCode>General</c:formatCode>
                <c:ptCount val="4"/>
                <c:pt idx="0">
                  <c:v>55.166118524651765</c:v>
                </c:pt>
                <c:pt idx="1">
                  <c:v>40.427999125415774</c:v>
                </c:pt>
                <c:pt idx="2">
                  <c:v>24.648775283516684</c:v>
                </c:pt>
                <c:pt idx="3">
                  <c:v>18.270912395843396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2F4-4D41-BFB4-BC31ED9A7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113160"/>
        <c:axId val="441113552"/>
      </c:scatterChart>
      <c:valAx>
        <c:axId val="441113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Tim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e post injection (hours)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3552"/>
        <c:crosses val="autoZero"/>
        <c:crossBetween val="midCat"/>
      </c:valAx>
      <c:valAx>
        <c:axId val="441113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Normalised Activity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(MBq)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316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AU" sz="1100" b="0" i="0" baseline="0">
                <a:effectLst/>
              </a:rPr>
              <a:t>Time Activity Curve Blood: I-131 Corrected (Normalised to Injected Activity)</a:t>
            </a:r>
          </a:p>
        </c:rich>
      </c:tx>
      <c:layout>
        <c:manualLayout>
          <c:xMode val="edge"/>
          <c:yMode val="edge"/>
          <c:x val="0.14790016535061662"/>
          <c:y val="3.070111557459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1798595847009333"/>
          <c:w val="0.83129396325459315"/>
          <c:h val="0.713480025842120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rgbClr val="000000">
                    <a:alpha val="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Sheet1!$W$2:$Y$2</c:f>
              <c:numCache>
                <c:formatCode>General</c:formatCode>
                <c:ptCount val="3"/>
                <c:pt idx="0">
                  <c:v>1.5666666665347293</c:v>
                </c:pt>
                <c:pt idx="1">
                  <c:v>20.583333333197515</c:v>
                </c:pt>
                <c:pt idx="2">
                  <c:v>46.733333333220799</c:v>
                </c:pt>
              </c:numCache>
            </c:numRef>
          </c:xVal>
          <c:yVal>
            <c:numRef>
              <c:f>Sheet1!$W$4:$Y$4</c:f>
              <c:numCache>
                <c:formatCode>General</c:formatCode>
                <c:ptCount val="3"/>
                <c:pt idx="0">
                  <c:v>0.99437773606871005</c:v>
                </c:pt>
                <c:pt idx="1">
                  <c:v>0.51273570232173349</c:v>
                </c:pt>
                <c:pt idx="2">
                  <c:v>0.23588064684829435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FEC-4BAA-B46B-165CB1CDB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115512"/>
        <c:axId val="441118648"/>
      </c:scatterChart>
      <c:valAx>
        <c:axId val="44111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00">
                  <a:alpha val="0"/>
                </a:srgb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Time post</a:t>
                </a:r>
                <a:r>
                  <a:rPr lang="en-AU" baseline="0">
                    <a:solidFill>
                      <a:sysClr val="windowText" lastClr="000000"/>
                    </a:solidFill>
                  </a:rPr>
                  <a:t> injection (hr)</a:t>
                </a:r>
                <a:endParaRPr lang="en-AU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8648"/>
        <c:crosses val="autoZero"/>
        <c:crossBetween val="midCat"/>
      </c:valAx>
      <c:valAx>
        <c:axId val="44111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alpha val="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Normalised WB Activity (MBq)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55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Time Activity Curve Blood</a:t>
            </a:r>
            <a:r>
              <a:rPr lang="en-AU" baseline="0"/>
              <a:t> I-131 (Normalised to Injected Activity)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rgbClr val="000000">
                    <a:alpha val="0"/>
                  </a:srgb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Sheet1!$O$2:$Q$2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Sheet1!$O$4:$Q$4</c:f>
              <c:numCache>
                <c:formatCode>0.000000</c:formatCode>
                <c:ptCount val="3"/>
                <c:pt idx="0">
                  <c:v>6.6488450169520521E-5</c:v>
                </c:pt>
                <c:pt idx="1">
                  <c:v>2.7957658451007531E-5</c:v>
                </c:pt>
                <c:pt idx="2">
                  <c:v>1.0119808864169867E-5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648-4AB4-9A10-E669312F2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117080"/>
        <c:axId val="441117472"/>
      </c:scatterChart>
      <c:valAx>
        <c:axId val="4411170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rgbClr val="000000">
                  <a:alpha val="0"/>
                </a:srgb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Time post</a:t>
                </a:r>
                <a:r>
                  <a:rPr lang="en-AU" baseline="0">
                    <a:solidFill>
                      <a:sysClr val="windowText" lastClr="000000"/>
                    </a:solidFill>
                  </a:rPr>
                  <a:t> injection (hr)</a:t>
                </a:r>
                <a:endParaRPr lang="en-AU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7472"/>
        <c:crosses val="autoZero"/>
        <c:crossBetween val="midCat"/>
      </c:valAx>
      <c:valAx>
        <c:axId val="4411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alpha val="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Normalised Blood Activity (MBq/MBq.ml)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708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Whole Body Time Activity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"18/11/2018"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 cap="sq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exp"/>
            <c:intercept val="1"/>
            <c:dispRSqr val="0"/>
            <c:dispEq val="0"/>
          </c:trendline>
          <c:xVal>
            <c:numRef>
              <c:f>Sheet2!$C$2:$G$2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Sheet2!$C$4:$G$4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105-45E6-BCB9-F35064399EF4}"/>
            </c:ext>
          </c:extLst>
        </c:ser>
        <c:ser>
          <c:idx val="1"/>
          <c:order val="1"/>
          <c:tx>
            <c:strRef>
              <c:f>Sheet2!$A$6</c:f>
              <c:strCache>
                <c:ptCount val="1"/>
                <c:pt idx="0">
                  <c:v>"18/01/2021"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4.0269928396574055E-2"/>
                  <c:y val="-0.316061258397746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Sheet2!$C$6:$G$6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Sheet2!$C$8:$G$8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105-45E6-BCB9-F35064399EF4}"/>
            </c:ext>
          </c:extLst>
        </c:ser>
        <c:ser>
          <c:idx val="2"/>
          <c:order val="2"/>
          <c:tx>
            <c:v>Trendline 2021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2577218965074993"/>
                  <c:y val="-0.105027233981073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Sheet2!$A$34:$N$34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xVal>
          <c:yVal>
            <c:numRef>
              <c:f>Sheet2!$A$35:$N$35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F3E-4757-BA6C-252449419420}"/>
            </c:ext>
          </c:extLst>
        </c:ser>
        <c:ser>
          <c:idx val="3"/>
          <c:order val="3"/>
          <c:tx>
            <c:strRef>
              <c:f>Sheet2!$A$10</c:f>
              <c:strCache>
                <c:ptCount val="1"/>
                <c:pt idx="0">
                  <c:v>"15/02/2021"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Sheet2!$C$10:$F$10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Sheet2!$C$12:$F$12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8DE-470A-A73C-8E388F61C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119040"/>
        <c:axId val="442456360"/>
      </c:scatterChart>
      <c:valAx>
        <c:axId val="4411190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6360"/>
        <c:crosses val="autoZero"/>
        <c:crossBetween val="midCat"/>
      </c:valAx>
      <c:valAx>
        <c:axId val="442456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Normalised Activity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19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Blood Time Activity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24699479057941"/>
          <c:y val="0.1393705759059444"/>
          <c:w val="0.80395479695925576"/>
          <c:h val="0.6937781304626207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"18/11/2018"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Sheet2!$M$2:$Q$2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Sheet2!$M$4:$Q$4</c:f>
              <c:numCache>
                <c:formatCode>0.000000000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B3-49F4-87C8-9B5400D0D6E0}"/>
            </c:ext>
          </c:extLst>
        </c:ser>
        <c:ser>
          <c:idx val="1"/>
          <c:order val="1"/>
          <c:tx>
            <c:strRef>
              <c:f>Sheet2!$A$6</c:f>
              <c:strCache>
                <c:ptCount val="1"/>
                <c:pt idx="0">
                  <c:v>"18/01/2021"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Sheet2!$M$6:$Q$6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Sheet2!$M$8:$Q$8</c:f>
              <c:numCache>
                <c:formatCode>0.00000000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5B3-49F4-87C8-9B5400D0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59888"/>
        <c:axId val="442458320"/>
      </c:scatterChart>
      <c:valAx>
        <c:axId val="44245988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</a:t>
                </a:r>
                <a:r>
                  <a:rPr lang="en-AU" baseline="0"/>
                  <a:t> (hours)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8320"/>
        <c:crosses val="autoZero"/>
        <c:crossBetween val="midCat"/>
      </c:valAx>
      <c:valAx>
        <c:axId val="4424583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Normalised Activity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98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0910103484752882"/>
          <c:y val="0.17748184205636566"/>
          <c:w val="0.12387546529437565"/>
          <c:h val="0.12682097220299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Predicted I-131 Whold Body Activity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Curve based on I-124 Whole Body </a:t>
            </a:r>
            <a:r>
              <a:rPr lang="en-US" baseline="0">
                <a:solidFill>
                  <a:sysClr val="windowText" lastClr="000000"/>
                </a:solidFill>
              </a:rPr>
              <a:t>Activity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Estimated Activity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Graphing!$L$6:$Y$6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50</c:v>
                </c:pt>
                <c:pt idx="11">
                  <c:v>58</c:v>
                </c:pt>
                <c:pt idx="12">
                  <c:v>66</c:v>
                </c:pt>
                <c:pt idx="13">
                  <c:v>74</c:v>
                </c:pt>
              </c:numCache>
            </c:numRef>
          </c:xVal>
          <c:yVal>
            <c:numRef>
              <c:f>Graphing!$Z$6:$AM$6</c:f>
              <c:numCache>
                <c:formatCode>General</c:formatCode>
                <c:ptCount val="14"/>
                <c:pt idx="0">
                  <c:v>1.0268856451337445</c:v>
                </c:pt>
                <c:pt idx="1">
                  <c:v>0.98897215755928236</c:v>
                </c:pt>
                <c:pt idx="2">
                  <c:v>0.95245846805081802</c:v>
                </c:pt>
                <c:pt idx="3">
                  <c:v>0.85080884083836705</c:v>
                </c:pt>
                <c:pt idx="4">
                  <c:v>0.73194748519028374</c:v>
                </c:pt>
                <c:pt idx="5">
                  <c:v>0.65383154470109328</c:v>
                </c:pt>
                <c:pt idx="6">
                  <c:v>0.62969153041295156</c:v>
                </c:pt>
                <c:pt idx="7">
                  <c:v>0.54172113641557806</c:v>
                </c:pt>
                <c:pt idx="8">
                  <c:v>0.4660405539311181</c:v>
                </c:pt>
                <c:pt idx="9">
                  <c:v>0.41630311113224239</c:v>
                </c:pt>
                <c:pt idx="10">
                  <c:v>0.40093284774807902</c:v>
                </c:pt>
                <c:pt idx="11">
                  <c:v>0.34492094528568251</c:v>
                </c:pt>
                <c:pt idx="12">
                  <c:v>0.2967341268369269</c:v>
                </c:pt>
                <c:pt idx="13">
                  <c:v>0.25527919725705445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F4-4F67-B01E-B9BB4AB00A0A}"/>
            </c:ext>
          </c:extLst>
        </c:ser>
        <c:ser>
          <c:idx val="1"/>
          <c:order val="1"/>
          <c:tx>
            <c:v>Measured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Graphing!$G$7:$I$7</c:f>
              <c:numCache>
                <c:formatCode>0.0</c:formatCode>
                <c:ptCount val="3"/>
                <c:pt idx="0">
                  <c:v>1.7441666666418314</c:v>
                </c:pt>
                <c:pt idx="1">
                  <c:v>40.495555555564351</c:v>
                </c:pt>
                <c:pt idx="2">
                  <c:v>64.928888888913207</c:v>
                </c:pt>
              </c:numCache>
            </c:numRef>
          </c:xVal>
          <c:yVal>
            <c:numRef>
              <c:f>Graphing!$B$7:$D$7</c:f>
              <c:numCache>
                <c:formatCode>0.0</c:formatCode>
                <c:ptCount val="3"/>
                <c:pt idx="0">
                  <c:v>0.99374274239166804</c:v>
                </c:pt>
                <c:pt idx="1">
                  <c:v>0.47941711025489325</c:v>
                </c:pt>
                <c:pt idx="2">
                  <c:v>0.37884463061083257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F4-4F67-B01E-B9BB4AB0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60280"/>
        <c:axId val="442458712"/>
      </c:scatterChart>
      <c:valAx>
        <c:axId val="4424602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Tim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e post injection (hours)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8712"/>
        <c:crosses val="autoZero"/>
        <c:crossBetween val="midCat"/>
      </c:valAx>
      <c:valAx>
        <c:axId val="44245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Normalised Whole Body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AU" sz="1400">
                    <a:solidFill>
                      <a:sysClr val="windowText" lastClr="000000"/>
                    </a:solidFill>
                  </a:rPr>
                  <a:t> Activity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(MBq)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6028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Predicted I-131 Blood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Activity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Curve based on I-124 Blood </a:t>
            </a:r>
            <a:r>
              <a:rPr lang="en-US" baseline="0">
                <a:solidFill>
                  <a:sysClr val="windowText" lastClr="000000"/>
                </a:solidFill>
              </a:rPr>
              <a:t>Activity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Estimated Activity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Graphing!$L$11:$Y$11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50</c:v>
                </c:pt>
                <c:pt idx="11">
                  <c:v>58</c:v>
                </c:pt>
                <c:pt idx="12">
                  <c:v>66</c:v>
                </c:pt>
                <c:pt idx="13">
                  <c:v>74</c:v>
                </c:pt>
              </c:numCache>
            </c:numRef>
          </c:xVal>
          <c:yVal>
            <c:numRef>
              <c:f>Graphing!$Z$11:$AM$11</c:f>
              <c:numCache>
                <c:formatCode>General</c:formatCode>
                <c:ptCount val="14"/>
                <c:pt idx="0">
                  <c:v>5.0895486588521286E-5</c:v>
                </c:pt>
                <c:pt idx="1">
                  <c:v>4.9472542628514425E-5</c:v>
                </c:pt>
                <c:pt idx="2">
                  <c:v>4.8089381557895969E-5</c:v>
                </c:pt>
                <c:pt idx="3">
                  <c:v>4.416762773380794E-5</c:v>
                </c:pt>
                <c:pt idx="4">
                  <c:v>3.943155609123418E-5</c:v>
                </c:pt>
                <c:pt idx="5">
                  <c:v>3.6215859592738696E-5</c:v>
                </c:pt>
                <c:pt idx="6">
                  <c:v>3.5203330936109904E-5</c:v>
                </c:pt>
                <c:pt idx="7">
                  <c:v>3.142849615495568E-5</c:v>
                </c:pt>
                <c:pt idx="8">
                  <c:v>2.8058434934885014E-5</c:v>
                </c:pt>
                <c:pt idx="9">
                  <c:v>2.5770231781942976E-5</c:v>
                </c:pt>
                <c:pt idx="10">
                  <c:v>2.5049743618452991E-5</c:v>
                </c:pt>
                <c:pt idx="11">
                  <c:v>2.2363672699722443E-5</c:v>
                </c:pt>
                <c:pt idx="12">
                  <c:v>1.9965627762029682E-5</c:v>
                </c:pt>
                <c:pt idx="13">
                  <c:v>1.8337403931956294E-5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8D9-4788-9C81-68790A191890}"/>
            </c:ext>
          </c:extLst>
        </c:ser>
        <c:ser>
          <c:idx val="1"/>
          <c:order val="1"/>
          <c:tx>
            <c:v>Measured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Graphing!$G$12:$I$12</c:f>
              <c:numCache>
                <c:formatCode>0.0</c:formatCode>
                <c:ptCount val="3"/>
                <c:pt idx="0">
                  <c:v>1.4666666667326353</c:v>
                </c:pt>
                <c:pt idx="1">
                  <c:v>41.383333333418705</c:v>
                </c:pt>
                <c:pt idx="2">
                  <c:v>64.350000000034925</c:v>
                </c:pt>
              </c:numCache>
            </c:numRef>
          </c:xVal>
          <c:yVal>
            <c:numRef>
              <c:f>Graphing!$B$12:$D$12</c:f>
              <c:numCache>
                <c:formatCode>0.000000</c:formatCode>
                <c:ptCount val="3"/>
                <c:pt idx="0">
                  <c:v>4.8635561286936753E-5</c:v>
                </c:pt>
                <c:pt idx="1">
                  <c:v>3.0279024488614884E-5</c:v>
                </c:pt>
                <c:pt idx="2">
                  <c:v>1.9581947772754092E-5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D9-4788-9C81-68790A19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57536"/>
        <c:axId val="442457928"/>
      </c:scatterChart>
      <c:valAx>
        <c:axId val="4424575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Tim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e post injection (hours)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7928"/>
        <c:crosses val="autoZero"/>
        <c:crossBetween val="midCat"/>
      </c:valAx>
      <c:valAx>
        <c:axId val="44245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Normalised Blood Activity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(MBq/mL)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753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Predicted I-131 Whold Body Activity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Curve based on I-124 Whole Body </a:t>
            </a:r>
            <a:r>
              <a:rPr lang="en-US" baseline="0">
                <a:solidFill>
                  <a:sysClr val="windowText" lastClr="000000"/>
                </a:solidFill>
              </a:rPr>
              <a:t>Activity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Estimated Activity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'Graphing (2)'!$L$6:$Y$6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50</c:v>
                </c:pt>
                <c:pt idx="11">
                  <c:v>58</c:v>
                </c:pt>
                <c:pt idx="12">
                  <c:v>66</c:v>
                </c:pt>
                <c:pt idx="13">
                  <c:v>74</c:v>
                </c:pt>
              </c:numCache>
            </c:numRef>
          </c:xVal>
          <c:yVal>
            <c:numRef>
              <c:f>'Graphing (2)'!$AD$6:$AQ$6</c:f>
              <c:numCache>
                <c:formatCode>General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F4-4F67-B01E-B9BB4AB00A0A}"/>
            </c:ext>
          </c:extLst>
        </c:ser>
        <c:ser>
          <c:idx val="1"/>
          <c:order val="1"/>
          <c:tx>
            <c:v>Measured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'Graphing (2)'!$G$7:$I$7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'Graphing (2)'!$B$7:$D$7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F4-4F67-B01E-B9BB4AB0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59496"/>
        <c:axId val="442461064"/>
      </c:scatterChart>
      <c:valAx>
        <c:axId val="4424594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Tim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e post injection (hours)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61064"/>
        <c:crosses val="autoZero"/>
        <c:crossBetween val="midCat"/>
      </c:valAx>
      <c:valAx>
        <c:axId val="44246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Normalised Whole Body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AU" sz="1400">
                    <a:solidFill>
                      <a:sysClr val="windowText" lastClr="000000"/>
                    </a:solidFill>
                  </a:rPr>
                  <a:t> Activity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(MBq)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949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Predicted I-131 Blood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Activity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Curve based on I-124 Blood </a:t>
            </a:r>
            <a:r>
              <a:rPr lang="en-US" baseline="0">
                <a:solidFill>
                  <a:sysClr val="windowText" lastClr="000000"/>
                </a:solidFill>
              </a:rPr>
              <a:t>Activity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Estimated Activity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'Graphing (2)'!$L$11:$AC$11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10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34</c:v>
                </c:pt>
                <c:pt idx="8">
                  <c:v>42</c:v>
                </c:pt>
                <c:pt idx="9">
                  <c:v>48</c:v>
                </c:pt>
                <c:pt idx="10">
                  <c:v>50</c:v>
                </c:pt>
                <c:pt idx="11">
                  <c:v>58</c:v>
                </c:pt>
                <c:pt idx="12">
                  <c:v>66</c:v>
                </c:pt>
                <c:pt idx="13">
                  <c:v>72</c:v>
                </c:pt>
                <c:pt idx="14">
                  <c:v>78</c:v>
                </c:pt>
                <c:pt idx="15">
                  <c:v>84</c:v>
                </c:pt>
                <c:pt idx="16">
                  <c:v>90</c:v>
                </c:pt>
                <c:pt idx="17">
                  <c:v>96</c:v>
                </c:pt>
              </c:numCache>
            </c:numRef>
          </c:xVal>
          <c:yVal>
            <c:numRef>
              <c:f>'Graphing (2)'!$AD$11:$AU$11</c:f>
              <c:numCache>
                <c:formatCode>General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8D9-4788-9C81-68790A191890}"/>
            </c:ext>
          </c:extLst>
        </c:ser>
        <c:ser>
          <c:idx val="1"/>
          <c:order val="1"/>
          <c:tx>
            <c:v>Measured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'Graphing (2)'!$G$12:$I$12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'Graphing (2)'!$B$12:$D$12</c:f>
              <c:numCache>
                <c:formatCode>0.000000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D9-4788-9C81-68790A19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56752"/>
        <c:axId val="442454792"/>
      </c:scatterChart>
      <c:valAx>
        <c:axId val="44245675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Tim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e post injection (hours)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4792"/>
        <c:crosses val="autoZero"/>
        <c:crossBetween val="midCat"/>
      </c:valAx>
      <c:valAx>
        <c:axId val="44245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>
                    <a:solidFill>
                      <a:sysClr val="windowText" lastClr="000000"/>
                    </a:solidFill>
                  </a:rPr>
                  <a:t>Normalised Blood Activity</a:t>
                </a:r>
                <a:r>
                  <a:rPr lang="en-AU" sz="1400" baseline="0">
                    <a:solidFill>
                      <a:sysClr val="windowText" lastClr="000000"/>
                    </a:solidFill>
                  </a:rPr>
                  <a:t> (MBq/mL)</a:t>
                </a:r>
                <a:endParaRPr lang="en-AU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56752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145</xdr:col>
      <xdr:colOff>1055814</xdr:colOff>
      <xdr:row>32</xdr:row>
      <xdr:rowOff>109236</xdr:rowOff>
    </xdr:from>
    <xdr:to>
      <xdr:col>157</xdr:col>
      <xdr:colOff>200368</xdr:colOff>
      <xdr:row>57</xdr:row>
      <xdr:rowOff>26997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164</xdr:col>
      <xdr:colOff>460941</xdr:colOff>
      <xdr:row>33</xdr:row>
      <xdr:rowOff>113959</xdr:rowOff>
    </xdr:from>
    <xdr:to>
      <xdr:col>170</xdr:col>
      <xdr:colOff>14740</xdr:colOff>
      <xdr:row>51</xdr:row>
      <xdr:rowOff>100352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230</xdr:col>
      <xdr:colOff>724480</xdr:colOff>
      <xdr:row>31</xdr:row>
      <xdr:rowOff>95649</xdr:rowOff>
    </xdr:from>
    <xdr:to>
      <xdr:col>236</xdr:col>
      <xdr:colOff>533980</xdr:colOff>
      <xdr:row>56</xdr:row>
      <xdr:rowOff>33918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236</xdr:col>
      <xdr:colOff>1438956</xdr:colOff>
      <xdr:row>33</xdr:row>
      <xdr:rowOff>1701</xdr:rowOff>
    </xdr:from>
    <xdr:to>
      <xdr:col>243</xdr:col>
      <xdr:colOff>595313</xdr:colOff>
      <xdr:row>57</xdr:row>
      <xdr:rowOff>104957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91</xdr:col>
      <xdr:colOff>122563</xdr:colOff>
      <xdr:row>37</xdr:row>
      <xdr:rowOff>51043</xdr:rowOff>
    </xdr:from>
    <xdr:to>
      <xdr:col>103</xdr:col>
      <xdr:colOff>138316</xdr:colOff>
      <xdr:row>62</xdr:row>
      <xdr:rowOff>140838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136</xdr:col>
      <xdr:colOff>636434</xdr:colOff>
      <xdr:row>33</xdr:row>
      <xdr:rowOff>4303</xdr:rowOff>
    </xdr:from>
    <xdr:to>
      <xdr:col>145</xdr:col>
      <xdr:colOff>473148</xdr:colOff>
      <xdr:row>58</xdr:row>
      <xdr:rowOff>99855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104</xdr:col>
      <xdr:colOff>112696</xdr:colOff>
      <xdr:row>32</xdr:row>
      <xdr:rowOff>105820</xdr:rowOff>
    </xdr:from>
    <xdr:to>
      <xdr:col>116</xdr:col>
      <xdr:colOff>567580</xdr:colOff>
      <xdr:row>58</xdr:row>
      <xdr:rowOff>5115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107705</xdr:colOff>
      <xdr:row>8</xdr:row>
      <xdr:rowOff>170962</xdr:rowOff>
    </xdr:from>
    <xdr:to>
      <xdr:col>29</xdr:col>
      <xdr:colOff>366347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407865</xdr:colOff>
      <xdr:row>6</xdr:row>
      <xdr:rowOff>94273</xdr:rowOff>
    </xdr:from>
    <xdr:to>
      <xdr:col>18</xdr:col>
      <xdr:colOff>388815</xdr:colOff>
      <xdr:row>24</xdr:row>
      <xdr:rowOff>68873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117476</xdr:colOff>
      <xdr:row>14</xdr:row>
      <xdr:rowOff>19050</xdr:rowOff>
    </xdr:from>
    <xdr:to>
      <xdr:col>10</xdr:col>
      <xdr:colOff>384175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131762</xdr:colOff>
      <xdr:row>10</xdr:row>
      <xdr:rowOff>141288</xdr:rowOff>
    </xdr:from>
    <xdr:to>
      <xdr:col>19</xdr:col>
      <xdr:colOff>457200</xdr:colOff>
      <xdr:row>29</xdr:row>
      <xdr:rowOff>82551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24</xdr:row>
      <xdr:rowOff>38100</xdr:rowOff>
    </xdr:from>
    <xdr:to>
      <xdr:col>22</xdr:col>
      <xdr:colOff>58186</xdr:colOff>
      <xdr:row>33</xdr:row>
      <xdr:rowOff>38339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4610100"/>
          <a:ext cx="7421011" cy="1714739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11</xdr:row>
      <xdr:rowOff>171450</xdr:rowOff>
    </xdr:from>
    <xdr:to>
      <xdr:col>21</xdr:col>
      <xdr:colOff>505839</xdr:colOff>
      <xdr:row>18</xdr:row>
      <xdr:rowOff>162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2266950"/>
          <a:ext cx="7268589" cy="11622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100852</xdr:colOff>
      <xdr:row>16</xdr:row>
      <xdr:rowOff>179294</xdr:rowOff>
    </xdr:from>
    <xdr:to>
      <xdr:col>16</xdr:col>
      <xdr:colOff>582362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29</xdr:col>
      <xdr:colOff>234981</xdr:colOff>
      <xdr:row>44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600-000004000000}"/>
            </a:ext>
            <a:ext uri="{147F2762-F138-4A5C-976F-8EAC2B608ADB}">
              <a16:predDERef xmlns:a16="http://schemas.microsoft.com/office/drawing/2014/main" xmlns="" pre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100852</xdr:colOff>
      <xdr:row>16</xdr:row>
      <xdr:rowOff>179294</xdr:rowOff>
    </xdr:from>
    <xdr:to>
      <xdr:col>16</xdr:col>
      <xdr:colOff>582362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17</xdr:row>
      <xdr:rowOff>0</xdr:rowOff>
    </xdr:from>
    <xdr:to>
      <xdr:col>33</xdr:col>
      <xdr:colOff>234981</xdr:colOff>
      <xdr:row>44</xdr:row>
      <xdr:rowOff>179294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600-000004000000}"/>
            </a:ext>
            <a:ext uri="{147F2762-F138-4A5C-976F-8EAC2B608ADB}">
              <a16:predDERef xmlns:a16="http://schemas.microsoft.com/office/drawing/2014/main" xmlns="" pre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47"/>
  <sheetViews>
    <sheetView tabSelected="1" zoomScale="72" zoomScaleNormal="80" workbookViewId="0">
      <pane xSplit="2" ySplit="1" topLeftCell="H2" activePane="bottomRight" state="frozen"/>
      <selection pane="topRight" activeCell="C1" sqref="C1"/>
      <selection pane="bottomLeft" activeCell="A4" sqref="A4"/>
      <selection pane="bottomRight" activeCell="Z23" sqref="Z23"/>
    </sheetView>
  </sheetViews>
  <sheetFormatPr defaultRowHeight="15" x14ac:dyDescent="0.25"/>
  <cols>
    <col min="1" max="1" width="14.140625" customWidth="1"/>
    <col min="2" max="2" width="26.5703125" customWidth="1"/>
    <col min="3" max="3" width="11" customWidth="1"/>
    <col min="4" max="4" width="15" customWidth="1"/>
    <col min="5" max="5" width="10.5703125" customWidth="1"/>
    <col min="6" max="6" width="12.5703125" customWidth="1"/>
    <col min="7" max="8" width="16.5703125" customWidth="1"/>
    <col min="9" max="11" width="15.7109375" customWidth="1"/>
    <col min="12" max="12" width="18.5703125" customWidth="1"/>
    <col min="13" max="13" width="20.85546875" bestFit="1" customWidth="1"/>
    <col min="14" max="14" width="16.85546875" customWidth="1"/>
    <col min="15" max="15" width="24.5703125" bestFit="1" customWidth="1"/>
    <col min="16" max="16" width="17.85546875" customWidth="1"/>
    <col min="17" max="17" width="14.85546875" customWidth="1"/>
    <col min="18" max="18" width="18.5703125" customWidth="1"/>
    <col min="19" max="19" width="22.7109375" customWidth="1"/>
    <col min="20" max="20" width="14.85546875" customWidth="1"/>
    <col min="21" max="21" width="19.28515625" customWidth="1"/>
    <col min="22" max="22" width="17.7109375" bestFit="1" customWidth="1"/>
    <col min="23" max="23" width="9.140625" customWidth="1"/>
    <col min="24" max="24" width="15.28515625" customWidth="1"/>
    <col min="25" max="25" width="16.140625" customWidth="1"/>
    <col min="26" max="26" width="14.85546875" customWidth="1"/>
    <col min="27" max="27" width="13.140625" customWidth="1"/>
    <col min="28" max="28" width="16.85546875" customWidth="1"/>
    <col min="29" max="29" width="9.140625" customWidth="1"/>
    <col min="30" max="30" width="15.28515625" customWidth="1"/>
    <col min="31" max="31" width="18.140625" customWidth="1"/>
    <col min="32" max="32" width="14.85546875" customWidth="1"/>
    <col min="33" max="33" width="13.140625" customWidth="1"/>
    <col min="34" max="34" width="16.85546875" customWidth="1"/>
    <col min="35" max="35" width="9.140625" customWidth="1"/>
    <col min="36" max="36" width="15.28515625" customWidth="1"/>
    <col min="37" max="37" width="16.140625" customWidth="1"/>
    <col min="38" max="38" width="14.85546875" customWidth="1"/>
    <col min="39" max="39" width="13.140625" customWidth="1"/>
    <col min="40" max="40" width="16.85546875" customWidth="1"/>
    <col min="41" max="41" width="9.140625" customWidth="1"/>
    <col min="42" max="42" width="15.28515625" customWidth="1"/>
    <col min="43" max="43" width="18.140625" customWidth="1"/>
    <col min="44" max="44" width="14.85546875" customWidth="1"/>
    <col min="45" max="45" width="13.140625" customWidth="1"/>
    <col min="46" max="46" width="16.85546875" customWidth="1"/>
    <col min="47" max="47" width="9.140625" customWidth="1"/>
    <col min="48" max="48" width="15.28515625" customWidth="1"/>
    <col min="49" max="49" width="18.140625" customWidth="1"/>
    <col min="50" max="50" width="15.5703125" customWidth="1"/>
    <col min="51" max="51" width="16.5703125" customWidth="1"/>
    <col min="52" max="52" width="18.42578125" customWidth="1"/>
    <col min="53" max="53" width="22.85546875" bestFit="1" customWidth="1"/>
    <col min="54" max="54" width="13.5703125" customWidth="1"/>
    <col min="55" max="55" width="11.42578125" customWidth="1"/>
    <col min="56" max="56" width="16.140625" customWidth="1"/>
    <col min="57" max="58" width="15.5703125" customWidth="1"/>
    <col min="59" max="59" width="16.5703125" customWidth="1"/>
    <col min="60" max="60" width="23.140625" customWidth="1"/>
    <col min="61" max="61" width="18.42578125" customWidth="1"/>
    <col min="62" max="62" width="13.5703125" customWidth="1"/>
    <col min="63" max="63" width="12.42578125" customWidth="1"/>
    <col min="64" max="64" width="16.140625" customWidth="1"/>
    <col min="65" max="66" width="15.5703125" customWidth="1"/>
    <col min="67" max="67" width="19.28515625" customWidth="1"/>
    <col min="68" max="68" width="27.42578125" bestFit="1" customWidth="1"/>
    <col min="69" max="69" width="30" bestFit="1" customWidth="1"/>
    <col min="70" max="70" width="13.5703125" customWidth="1"/>
    <col min="71" max="71" width="12.42578125" customWidth="1"/>
    <col min="72" max="72" width="16.140625" customWidth="1"/>
    <col min="73" max="74" width="15.5703125" customWidth="1"/>
    <col min="75" max="75" width="16.5703125" customWidth="1"/>
    <col min="76" max="76" width="27.42578125" bestFit="1" customWidth="1"/>
    <col min="77" max="77" width="30" bestFit="1" customWidth="1"/>
    <col min="78" max="78" width="13.5703125" customWidth="1"/>
    <col min="79" max="79" width="12.42578125" customWidth="1"/>
    <col min="80" max="80" width="16.140625" customWidth="1"/>
    <col min="81" max="82" width="15.5703125" customWidth="1"/>
    <col min="83" max="83" width="18.28515625" customWidth="1"/>
    <col min="84" max="84" width="17.85546875" customWidth="1"/>
    <col min="85" max="85" width="18.28515625" customWidth="1"/>
    <col min="86" max="86" width="13.5703125" customWidth="1"/>
    <col min="87" max="87" width="12.42578125" customWidth="1"/>
    <col min="88" max="88" width="16.140625" customWidth="1"/>
    <col min="89" max="89" width="15.5703125" customWidth="1"/>
    <col min="90" max="90" width="14.28515625" customWidth="1"/>
    <col min="91" max="91" width="14.140625" customWidth="1"/>
    <col min="92" max="93" width="9.7109375" bestFit="1" customWidth="1"/>
    <col min="94" max="94" width="17.7109375" bestFit="1" customWidth="1"/>
    <col min="95" max="95" width="7.42578125" bestFit="1" customWidth="1"/>
    <col min="96" max="98" width="7.7109375" bestFit="1" customWidth="1"/>
    <col min="99" max="99" width="17.7109375" bestFit="1" customWidth="1"/>
    <col min="100" max="100" width="12.7109375" customWidth="1"/>
    <col min="101" max="101" width="12.42578125" customWidth="1"/>
    <col min="102" max="102" width="12.5703125" customWidth="1"/>
    <col min="103" max="103" width="11.28515625" customWidth="1"/>
    <col min="115" max="115" width="10" customWidth="1"/>
    <col min="118" max="118" width="17.42578125" customWidth="1"/>
    <col min="123" max="123" width="11.140625" customWidth="1"/>
    <col min="124" max="124" width="8.85546875" bestFit="1" customWidth="1"/>
    <col min="125" max="125" width="16.42578125" customWidth="1"/>
    <col min="126" max="126" width="8.85546875" bestFit="1" customWidth="1"/>
    <col min="127" max="127" width="12" customWidth="1"/>
    <col min="128" max="129" width="8.85546875" bestFit="1" customWidth="1"/>
    <col min="130" max="130" width="14" customWidth="1"/>
    <col min="131" max="131" width="14.42578125" customWidth="1"/>
    <col min="132" max="132" width="12.140625" customWidth="1"/>
    <col min="133" max="133" width="11.5703125" customWidth="1"/>
    <col min="134" max="134" width="15.5703125" customWidth="1"/>
    <col min="135" max="135" width="14.85546875" customWidth="1"/>
    <col min="136" max="136" width="13.5703125" customWidth="1"/>
    <col min="137" max="137" width="12" bestFit="1" customWidth="1"/>
    <col min="138" max="138" width="15.140625" customWidth="1"/>
    <col min="139" max="139" width="12.42578125" bestFit="1" customWidth="1"/>
    <col min="140" max="140" width="15" customWidth="1"/>
    <col min="141" max="141" width="15.42578125" bestFit="1" customWidth="1"/>
    <col min="142" max="142" width="8.85546875" bestFit="1" customWidth="1"/>
    <col min="143" max="143" width="14.7109375" customWidth="1"/>
    <col min="144" max="144" width="14.42578125" customWidth="1"/>
    <col min="145" max="146" width="16.42578125" customWidth="1"/>
    <col min="147" max="148" width="14.85546875" bestFit="1" customWidth="1"/>
    <col min="149" max="153" width="8.85546875" bestFit="1" customWidth="1"/>
    <col min="154" max="154" width="7.42578125" customWidth="1"/>
    <col min="155" max="155" width="8.85546875" bestFit="1" customWidth="1"/>
    <col min="156" max="160" width="12" bestFit="1" customWidth="1"/>
    <col min="161" max="162" width="8.85546875" bestFit="1" customWidth="1"/>
    <col min="163" max="163" width="10.5703125" customWidth="1"/>
    <col min="164" max="164" width="13.85546875" bestFit="1" customWidth="1"/>
    <col min="165" max="166" width="8.85546875" bestFit="1" customWidth="1"/>
    <col min="167" max="167" width="19.140625" bestFit="1" customWidth="1"/>
    <col min="168" max="172" width="16.28515625" bestFit="1" customWidth="1"/>
    <col min="173" max="173" width="15" bestFit="1" customWidth="1"/>
    <col min="174" max="174" width="16.42578125" customWidth="1"/>
    <col min="175" max="181" width="16.28515625" bestFit="1" customWidth="1"/>
    <col min="182" max="182" width="16" customWidth="1"/>
    <col min="183" max="183" width="17.85546875" customWidth="1"/>
    <col min="184" max="184" width="20" customWidth="1"/>
    <col min="185" max="185" width="15.28515625" customWidth="1"/>
    <col min="186" max="186" width="14.140625" customWidth="1"/>
    <col min="187" max="187" width="14.5703125" customWidth="1"/>
    <col min="188" max="188" width="13.42578125" customWidth="1"/>
    <col min="189" max="189" width="12" customWidth="1"/>
    <col min="190" max="190" width="13.28515625" customWidth="1"/>
    <col min="191" max="191" width="21.140625" customWidth="1"/>
    <col min="192" max="192" width="12.42578125" customWidth="1"/>
    <col min="193" max="193" width="17.28515625" customWidth="1"/>
    <col min="194" max="195" width="15.42578125" customWidth="1"/>
    <col min="197" max="197" width="22.140625" customWidth="1"/>
    <col min="198" max="198" width="24.85546875" customWidth="1"/>
    <col min="199" max="199" width="20.5703125" customWidth="1"/>
    <col min="200" max="200" width="32.85546875" customWidth="1"/>
    <col min="201" max="201" width="22.28515625" customWidth="1"/>
    <col min="202" max="202" width="18.7109375" customWidth="1"/>
    <col min="203" max="203" width="16.140625" customWidth="1"/>
    <col min="204" max="204" width="21.5703125" bestFit="1" customWidth="1"/>
    <col min="205" max="205" width="16.42578125" customWidth="1"/>
    <col min="206" max="206" width="16.7109375" customWidth="1"/>
    <col min="207" max="207" width="11.42578125" customWidth="1"/>
    <col min="208" max="208" width="18.85546875" customWidth="1"/>
    <col min="209" max="209" width="17.140625" customWidth="1"/>
    <col min="210" max="210" width="21.140625" customWidth="1"/>
    <col min="211" max="211" width="22.140625" customWidth="1"/>
    <col min="212" max="212" width="20.7109375" customWidth="1"/>
    <col min="213" max="213" width="18.28515625" customWidth="1"/>
    <col min="214" max="214" width="16.42578125" customWidth="1"/>
    <col min="215" max="215" width="15.5703125" customWidth="1"/>
    <col min="216" max="216" width="23.5703125" customWidth="1"/>
    <col min="217" max="217" width="20.28515625" bestFit="1" customWidth="1"/>
    <col min="218" max="218" width="20.42578125" customWidth="1"/>
    <col min="219" max="219" width="29.85546875" customWidth="1"/>
    <col min="220" max="220" width="28.42578125" customWidth="1"/>
    <col min="221" max="221" width="20.5703125" customWidth="1"/>
    <col min="222" max="222" width="25.42578125" customWidth="1"/>
    <col min="223" max="223" width="22.28515625" customWidth="1"/>
    <col min="224" max="224" width="36.7109375" customWidth="1"/>
    <col min="225" max="225" width="25.5703125" customWidth="1"/>
    <col min="226" max="226" width="36" customWidth="1"/>
    <col min="227" max="227" width="20.28515625" bestFit="1" customWidth="1"/>
    <col min="228" max="230" width="17.5703125" customWidth="1"/>
    <col min="231" max="234" width="24.28515625" customWidth="1"/>
    <col min="235" max="235" width="17.28515625" customWidth="1"/>
    <col min="236" max="236" width="20.140625" customWidth="1"/>
    <col min="237" max="237" width="28.7109375" customWidth="1"/>
    <col min="238" max="238" width="24.5703125" customWidth="1"/>
    <col min="239" max="239" width="15.5703125" customWidth="1"/>
    <col min="240" max="240" width="23.28515625" customWidth="1"/>
    <col min="241" max="241" width="18" customWidth="1"/>
    <col min="242" max="242" width="16.5703125" customWidth="1"/>
    <col min="243" max="243" width="17.85546875" customWidth="1"/>
    <col min="244" max="244" width="16.140625" customWidth="1"/>
    <col min="245" max="245" width="17.5703125" customWidth="1"/>
    <col min="246" max="246" width="17.85546875" customWidth="1"/>
    <col min="247" max="247" width="18.85546875" customWidth="1"/>
    <col min="248" max="248" width="17.42578125" customWidth="1"/>
    <col min="249" max="249" width="20.28515625" customWidth="1"/>
    <col min="250" max="250" width="20.5703125" customWidth="1"/>
    <col min="251" max="251" width="17.140625" customWidth="1"/>
    <col min="252" max="252" width="18.140625" bestFit="1" customWidth="1"/>
    <col min="253" max="254" width="17.140625" bestFit="1" customWidth="1"/>
    <col min="255" max="255" width="18.140625" bestFit="1" customWidth="1"/>
    <col min="256" max="256" width="14.28515625" bestFit="1" customWidth="1"/>
  </cols>
  <sheetData>
    <row r="1" spans="1:256" ht="84.6" customHeight="1" x14ac:dyDescent="0.25">
      <c r="A1" s="36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30" t="s">
        <v>6</v>
      </c>
      <c r="G1" s="30" t="s">
        <v>7</v>
      </c>
      <c r="H1" s="30" t="s">
        <v>8</v>
      </c>
      <c r="I1" s="23" t="s">
        <v>9</v>
      </c>
      <c r="J1" s="22" t="s">
        <v>161</v>
      </c>
      <c r="K1" s="22" t="s">
        <v>10</v>
      </c>
      <c r="L1" s="91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5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4" t="s">
        <v>162</v>
      </c>
      <c r="AB1" s="25" t="s">
        <v>26</v>
      </c>
      <c r="AC1" s="22" t="s">
        <v>27</v>
      </c>
      <c r="AD1" s="22" t="s">
        <v>28</v>
      </c>
      <c r="AE1" s="22" t="s">
        <v>24</v>
      </c>
      <c r="AF1" s="22" t="s">
        <v>29</v>
      </c>
      <c r="AG1" s="24" t="s">
        <v>162</v>
      </c>
      <c r="AH1" s="25" t="s">
        <v>30</v>
      </c>
      <c r="AI1" s="22" t="s">
        <v>31</v>
      </c>
      <c r="AJ1" s="22" t="s">
        <v>32</v>
      </c>
      <c r="AK1" s="22" t="s">
        <v>24</v>
      </c>
      <c r="AL1" s="22" t="s">
        <v>33</v>
      </c>
      <c r="AM1" s="24" t="s">
        <v>162</v>
      </c>
      <c r="AN1" s="26" t="s">
        <v>34</v>
      </c>
      <c r="AO1" s="26" t="s">
        <v>35</v>
      </c>
      <c r="AP1" s="26" t="s">
        <v>36</v>
      </c>
      <c r="AQ1" s="26" t="s">
        <v>24</v>
      </c>
      <c r="AR1" s="26" t="s">
        <v>37</v>
      </c>
      <c r="AS1" s="24" t="s">
        <v>162</v>
      </c>
      <c r="AT1" s="25" t="s">
        <v>38</v>
      </c>
      <c r="AU1" s="22" t="s">
        <v>39</v>
      </c>
      <c r="AV1" s="22" t="s">
        <v>40</v>
      </c>
      <c r="AW1" s="22" t="s">
        <v>24</v>
      </c>
      <c r="AX1" s="22" t="s">
        <v>41</v>
      </c>
      <c r="AY1" s="24" t="s">
        <v>162</v>
      </c>
      <c r="AZ1" s="22" t="s">
        <v>42</v>
      </c>
      <c r="BA1" s="22" t="s">
        <v>43</v>
      </c>
      <c r="BB1" s="22" t="s">
        <v>44</v>
      </c>
      <c r="BC1" s="22" t="s">
        <v>24</v>
      </c>
      <c r="BD1" s="22" t="s">
        <v>45</v>
      </c>
      <c r="BE1" s="22" t="s">
        <v>46</v>
      </c>
      <c r="BF1" s="22" t="s">
        <v>47</v>
      </c>
      <c r="BG1" s="22" t="s">
        <v>48</v>
      </c>
      <c r="BH1" s="22" t="s">
        <v>49</v>
      </c>
      <c r="BI1" s="22" t="s">
        <v>50</v>
      </c>
      <c r="BJ1" s="22" t="s">
        <v>44</v>
      </c>
      <c r="BK1" s="22" t="s">
        <v>24</v>
      </c>
      <c r="BL1" s="22" t="s">
        <v>45</v>
      </c>
      <c r="BM1" s="22" t="s">
        <v>46</v>
      </c>
      <c r="BN1" s="22" t="s">
        <v>47</v>
      </c>
      <c r="BO1" s="22" t="s">
        <v>48</v>
      </c>
      <c r="BP1" s="22" t="s">
        <v>51</v>
      </c>
      <c r="BQ1" s="22" t="s">
        <v>52</v>
      </c>
      <c r="BR1" s="22" t="s">
        <v>44</v>
      </c>
      <c r="BS1" s="22" t="s">
        <v>24</v>
      </c>
      <c r="BT1" s="22" t="s">
        <v>45</v>
      </c>
      <c r="BU1" s="22" t="s">
        <v>46</v>
      </c>
      <c r="BV1" s="22" t="s">
        <v>47</v>
      </c>
      <c r="BW1" s="22" t="s">
        <v>48</v>
      </c>
      <c r="BX1" s="22" t="s">
        <v>53</v>
      </c>
      <c r="BY1" s="22" t="s">
        <v>54</v>
      </c>
      <c r="BZ1" s="22" t="s">
        <v>44</v>
      </c>
      <c r="CA1" s="22" t="s">
        <v>24</v>
      </c>
      <c r="CB1" s="22" t="s">
        <v>45</v>
      </c>
      <c r="CC1" s="22" t="s">
        <v>46</v>
      </c>
      <c r="CD1" s="22" t="s">
        <v>47</v>
      </c>
      <c r="CE1" s="22" t="s">
        <v>48</v>
      </c>
      <c r="CF1" s="25" t="s">
        <v>55</v>
      </c>
      <c r="CG1" s="22" t="s">
        <v>56</v>
      </c>
      <c r="CH1" s="22" t="s">
        <v>44</v>
      </c>
      <c r="CI1" s="22" t="s">
        <v>24</v>
      </c>
      <c r="CJ1" s="22" t="s">
        <v>45</v>
      </c>
      <c r="CK1" s="22" t="s">
        <v>46</v>
      </c>
      <c r="CL1" s="22" t="s">
        <v>47</v>
      </c>
      <c r="CM1" s="22" t="s">
        <v>48</v>
      </c>
      <c r="CN1" s="38" t="s">
        <v>57</v>
      </c>
      <c r="CO1" s="23" t="s">
        <v>58</v>
      </c>
      <c r="CP1" s="23" t="s">
        <v>59</v>
      </c>
      <c r="CQ1" s="23" t="s">
        <v>60</v>
      </c>
      <c r="CR1" s="23" t="s">
        <v>61</v>
      </c>
      <c r="CS1" s="23" t="s">
        <v>62</v>
      </c>
      <c r="CT1" s="23" t="s">
        <v>63</v>
      </c>
      <c r="CU1" s="23" t="s">
        <v>64</v>
      </c>
      <c r="CV1" s="23" t="s">
        <v>65</v>
      </c>
      <c r="CW1" s="23" t="s">
        <v>66</v>
      </c>
      <c r="CX1" s="23" t="s">
        <v>67</v>
      </c>
      <c r="CY1" s="23" t="s">
        <v>68</v>
      </c>
      <c r="CZ1" s="36" t="s">
        <v>69</v>
      </c>
      <c r="DA1" s="36" t="s">
        <v>63</v>
      </c>
      <c r="DB1" s="36" t="s">
        <v>64</v>
      </c>
      <c r="DC1" s="36" t="s">
        <v>65</v>
      </c>
      <c r="DD1" s="36" t="s">
        <v>66</v>
      </c>
      <c r="DE1" s="36" t="s">
        <v>70</v>
      </c>
      <c r="DF1" s="36" t="s">
        <v>71</v>
      </c>
      <c r="DG1" s="36" t="s">
        <v>72</v>
      </c>
      <c r="DH1" s="36" t="s">
        <v>73</v>
      </c>
      <c r="DI1" s="36" t="s">
        <v>74</v>
      </c>
      <c r="DJ1" s="36" t="s">
        <v>75</v>
      </c>
      <c r="DK1" s="36" t="s">
        <v>76</v>
      </c>
      <c r="DL1" s="36" t="s">
        <v>77</v>
      </c>
      <c r="DM1" s="36" t="s">
        <v>78</v>
      </c>
      <c r="DN1" s="36" t="s">
        <v>79</v>
      </c>
      <c r="DO1" s="36" t="s">
        <v>80</v>
      </c>
      <c r="DP1" s="36" t="s">
        <v>81</v>
      </c>
      <c r="DQ1" s="36" t="s">
        <v>82</v>
      </c>
      <c r="DR1" s="36" t="s">
        <v>83</v>
      </c>
      <c r="DS1" s="36" t="s">
        <v>84</v>
      </c>
      <c r="DT1" s="36" t="s">
        <v>85</v>
      </c>
      <c r="DU1" s="36" t="s">
        <v>86</v>
      </c>
      <c r="DV1" s="36" t="s">
        <v>87</v>
      </c>
      <c r="DW1" s="36" t="s">
        <v>88</v>
      </c>
      <c r="DX1" s="36" t="s">
        <v>89</v>
      </c>
      <c r="DY1" s="36" t="s">
        <v>90</v>
      </c>
      <c r="DZ1" s="36" t="s">
        <v>91</v>
      </c>
      <c r="EA1" s="36" t="s">
        <v>92</v>
      </c>
      <c r="EB1" s="23" t="s">
        <v>93</v>
      </c>
      <c r="EC1" s="23" t="s">
        <v>94</v>
      </c>
      <c r="ED1" s="23" t="s">
        <v>95</v>
      </c>
      <c r="EE1" s="23" t="s">
        <v>96</v>
      </c>
      <c r="EF1" s="39" t="s">
        <v>97</v>
      </c>
      <c r="EG1" s="43" t="s">
        <v>79</v>
      </c>
      <c r="EH1" s="26" t="s">
        <v>80</v>
      </c>
      <c r="EI1" s="26" t="s">
        <v>81</v>
      </c>
      <c r="EJ1" s="26" t="s">
        <v>82</v>
      </c>
      <c r="EK1" s="26" t="s">
        <v>83</v>
      </c>
      <c r="EL1" s="26" t="s">
        <v>62</v>
      </c>
      <c r="EM1" s="26" t="s">
        <v>63</v>
      </c>
      <c r="EN1" s="26" t="s">
        <v>64</v>
      </c>
      <c r="EO1" s="26" t="s">
        <v>65</v>
      </c>
      <c r="EP1" s="26" t="s">
        <v>66</v>
      </c>
      <c r="EQ1" s="26" t="s">
        <v>98</v>
      </c>
      <c r="ER1" s="26" t="s">
        <v>99</v>
      </c>
      <c r="ES1" s="26" t="s">
        <v>100</v>
      </c>
      <c r="ET1" s="26" t="s">
        <v>101</v>
      </c>
      <c r="EU1" s="26" t="s">
        <v>102</v>
      </c>
      <c r="EV1" s="26" t="s">
        <v>103</v>
      </c>
      <c r="EW1" s="26" t="s">
        <v>104</v>
      </c>
      <c r="EX1" s="26" t="s">
        <v>105</v>
      </c>
      <c r="EY1" s="26" t="s">
        <v>106</v>
      </c>
      <c r="EZ1" s="26" t="s">
        <v>107</v>
      </c>
      <c r="FA1" s="26" t="s">
        <v>108</v>
      </c>
      <c r="FB1" s="26" t="s">
        <v>109</v>
      </c>
      <c r="FC1" s="26" t="s">
        <v>110</v>
      </c>
      <c r="FD1" s="26" t="s">
        <v>111</v>
      </c>
      <c r="FE1" s="26" t="s">
        <v>112</v>
      </c>
      <c r="FF1" s="26" t="s">
        <v>113</v>
      </c>
      <c r="FG1" s="26" t="s">
        <v>114</v>
      </c>
      <c r="FH1" s="26" t="s">
        <v>115</v>
      </c>
      <c r="FI1" s="26" t="s">
        <v>116</v>
      </c>
      <c r="FJ1" s="26" t="s">
        <v>117</v>
      </c>
      <c r="FK1" s="26" t="s">
        <v>118</v>
      </c>
      <c r="FL1" s="26" t="s">
        <v>119</v>
      </c>
      <c r="FM1" s="26" t="s">
        <v>120</v>
      </c>
      <c r="FN1" s="26" t="s">
        <v>121</v>
      </c>
      <c r="FO1" s="26" t="s">
        <v>122</v>
      </c>
      <c r="FP1" s="26" t="s">
        <v>123</v>
      </c>
      <c r="FQ1" s="26" t="s">
        <v>124</v>
      </c>
      <c r="FR1" s="26" t="s">
        <v>125</v>
      </c>
      <c r="FS1" s="26" t="s">
        <v>126</v>
      </c>
      <c r="FT1" s="26" t="s">
        <v>127</v>
      </c>
      <c r="FU1" s="26" t="s">
        <v>128</v>
      </c>
      <c r="FV1" s="26" t="s">
        <v>129</v>
      </c>
      <c r="FW1" s="26" t="s">
        <v>130</v>
      </c>
      <c r="FX1" s="26" t="s">
        <v>131</v>
      </c>
      <c r="FY1" s="26" t="s">
        <v>132</v>
      </c>
      <c r="FZ1" s="26" t="s">
        <v>133</v>
      </c>
      <c r="GA1" s="26" t="s">
        <v>134</v>
      </c>
      <c r="GB1" s="26" t="s">
        <v>135</v>
      </c>
      <c r="GC1" s="26" t="s">
        <v>136</v>
      </c>
      <c r="GD1" s="26" t="s">
        <v>137</v>
      </c>
      <c r="GE1" s="26" t="s">
        <v>138</v>
      </c>
      <c r="GF1" s="26" t="s">
        <v>139</v>
      </c>
      <c r="GG1" s="26" t="s">
        <v>289</v>
      </c>
      <c r="GH1" s="27" t="s">
        <v>140</v>
      </c>
      <c r="GI1" s="97" t="s">
        <v>0</v>
      </c>
      <c r="GJ1" s="98"/>
      <c r="GK1" s="22" t="s">
        <v>141</v>
      </c>
      <c r="GL1" s="22" t="s">
        <v>142</v>
      </c>
      <c r="GM1" s="98" t="s">
        <v>143</v>
      </c>
      <c r="GN1" s="98"/>
      <c r="GO1" s="22" t="s">
        <v>144</v>
      </c>
      <c r="GP1" s="22" t="s">
        <v>145</v>
      </c>
      <c r="GQ1" s="22" t="s">
        <v>144</v>
      </c>
      <c r="GR1" s="22" t="s">
        <v>145</v>
      </c>
      <c r="GS1" s="22" t="s">
        <v>163</v>
      </c>
      <c r="GT1" s="22" t="s">
        <v>164</v>
      </c>
      <c r="GU1" s="22" t="s">
        <v>165</v>
      </c>
      <c r="GV1" s="22" t="s">
        <v>146</v>
      </c>
      <c r="GW1" s="22" t="s">
        <v>147</v>
      </c>
      <c r="GX1" s="22" t="s">
        <v>148</v>
      </c>
      <c r="GY1" s="22" t="s">
        <v>149</v>
      </c>
      <c r="GZ1" s="22" t="s">
        <v>150</v>
      </c>
      <c r="HA1" s="22" t="s">
        <v>166</v>
      </c>
      <c r="HB1" s="22" t="s">
        <v>167</v>
      </c>
      <c r="HC1" s="22" t="s">
        <v>168</v>
      </c>
      <c r="HD1" s="22" t="s">
        <v>151</v>
      </c>
      <c r="HE1" s="22" t="s">
        <v>152</v>
      </c>
      <c r="HF1" s="22" t="s">
        <v>169</v>
      </c>
      <c r="HG1" s="22" t="s">
        <v>170</v>
      </c>
      <c r="HH1" s="22" t="s">
        <v>171</v>
      </c>
      <c r="HI1" s="22" t="s">
        <v>153</v>
      </c>
      <c r="HJ1" s="22" t="s">
        <v>154</v>
      </c>
      <c r="HK1" s="22" t="s">
        <v>172</v>
      </c>
      <c r="HL1" s="22" t="s">
        <v>173</v>
      </c>
      <c r="HM1" s="22" t="s">
        <v>174</v>
      </c>
      <c r="HN1" s="22" t="s">
        <v>155</v>
      </c>
      <c r="HO1" s="22" t="s">
        <v>156</v>
      </c>
      <c r="HP1" s="22" t="s">
        <v>175</v>
      </c>
      <c r="HQ1" s="22" t="s">
        <v>176</v>
      </c>
      <c r="HR1" s="22" t="s">
        <v>177</v>
      </c>
      <c r="HS1" s="22" t="s">
        <v>157</v>
      </c>
      <c r="HT1" s="22" t="s">
        <v>158</v>
      </c>
      <c r="HU1" s="22" t="s">
        <v>62</v>
      </c>
      <c r="HV1" s="22" t="s">
        <v>63</v>
      </c>
      <c r="HW1" s="22" t="s">
        <v>64</v>
      </c>
      <c r="HX1" s="22" t="s">
        <v>65</v>
      </c>
      <c r="HY1" s="22" t="s">
        <v>66</v>
      </c>
      <c r="HZ1" s="22" t="s">
        <v>79</v>
      </c>
      <c r="IA1" s="22" t="s">
        <v>80</v>
      </c>
      <c r="IB1" s="22" t="s">
        <v>81</v>
      </c>
      <c r="IC1" s="22" t="s">
        <v>82</v>
      </c>
      <c r="ID1" s="22" t="s">
        <v>83</v>
      </c>
      <c r="IE1" s="22" t="s">
        <v>178</v>
      </c>
      <c r="IF1" s="22" t="s">
        <v>179</v>
      </c>
      <c r="IG1" s="22" t="s">
        <v>180</v>
      </c>
      <c r="IH1" s="22" t="s">
        <v>181</v>
      </c>
      <c r="II1" s="22" t="s">
        <v>182</v>
      </c>
      <c r="IJ1" s="22" t="s">
        <v>183</v>
      </c>
      <c r="IK1" s="22" t="s">
        <v>184</v>
      </c>
      <c r="IL1" s="22" t="s">
        <v>185</v>
      </c>
      <c r="IM1" s="22" t="s">
        <v>186</v>
      </c>
      <c r="IN1" s="22" t="s">
        <v>187</v>
      </c>
      <c r="IO1" s="22" t="s">
        <v>188</v>
      </c>
      <c r="IP1" s="22" t="s">
        <v>189</v>
      </c>
      <c r="IQ1" s="22" t="s">
        <v>190</v>
      </c>
      <c r="IR1" s="22" t="s">
        <v>191</v>
      </c>
      <c r="IS1" s="22" t="s">
        <v>192</v>
      </c>
      <c r="IT1" s="22" t="s">
        <v>193</v>
      </c>
      <c r="IU1" s="22" t="s">
        <v>194</v>
      </c>
      <c r="IV1" s="22" t="s">
        <v>195</v>
      </c>
    </row>
    <row r="2" spans="1:256" ht="15.75" thickBot="1" x14ac:dyDescent="0.3">
      <c r="A2" s="5">
        <v>1</v>
      </c>
      <c r="B2" s="67"/>
      <c r="C2" s="5" t="s">
        <v>159</v>
      </c>
      <c r="D2" s="45"/>
      <c r="E2" s="5">
        <v>183</v>
      </c>
      <c r="F2" s="31">
        <v>125.4</v>
      </c>
      <c r="G2" s="2">
        <f>IF(C2 = "M", 65.76+(1.452*(E2-152)), 62.34+(1.247*(E2-152)))</f>
        <v>110.77200000000001</v>
      </c>
      <c r="H2" s="34"/>
      <c r="I2" s="63">
        <f>AA2*EXP(DATA!$B$4*Y2)</f>
        <v>94.038521217193946</v>
      </c>
      <c r="J2" s="63"/>
      <c r="K2" s="34"/>
      <c r="L2" s="15">
        <v>43423.625</v>
      </c>
      <c r="M2" s="15">
        <v>43423.643750000003</v>
      </c>
      <c r="N2" s="3">
        <v>3.67</v>
      </c>
      <c r="O2" s="11">
        <v>43425.375</v>
      </c>
      <c r="P2" s="21">
        <v>200</v>
      </c>
      <c r="Q2" s="1">
        <v>61327</v>
      </c>
      <c r="R2" s="1"/>
      <c r="S2" s="2">
        <f>N2/P2</f>
        <v>1.8349999999999998E-2</v>
      </c>
      <c r="T2" s="13">
        <f>Q2*EXP((O2-M2)*24*DATA!$B$4)</f>
        <v>81720.442724286215</v>
      </c>
      <c r="U2" s="20">
        <f>T2/S2</f>
        <v>4453430.1212145081</v>
      </c>
      <c r="V2" s="16">
        <v>43423.708333333336</v>
      </c>
      <c r="W2" s="1">
        <v>380.2</v>
      </c>
      <c r="X2" s="1">
        <v>242335.35</v>
      </c>
      <c r="Y2" s="2">
        <f>IF(V2="","",(V2-$L2)*24)</f>
        <v>2.0000000000582077</v>
      </c>
      <c r="Z2" s="19">
        <f t="shared" ref="Z2:Z15" si="0">IF(W2 = "", "", W2*X2/1000000)</f>
        <v>92.135900069999991</v>
      </c>
      <c r="AA2" s="17">
        <f>IF(Z2 = "", "", Z2*EXP(Y2*DATA!$B$4)*EXP(-DATA!$B$5*'Inputs-new'!Y2))</f>
        <v>92.747966323137391</v>
      </c>
      <c r="AB2" s="16">
        <v>43424.331250000003</v>
      </c>
      <c r="AC2" s="1">
        <v>192.2</v>
      </c>
      <c r="AD2" s="1">
        <v>254900.8</v>
      </c>
      <c r="AE2" s="2">
        <f>IF(AB2="","",(AB2-$L2)*24)</f>
        <v>16.950000000069849</v>
      </c>
      <c r="AF2" s="19">
        <f>IF(AC2 = "", "", AC2*AD2/1000000)</f>
        <v>48.991933759999995</v>
      </c>
      <c r="AG2" s="17">
        <f>IF(AF2 = "", "", AF2*EXP(AE2*DATA!$B$4)*EXP(-DATA!$B$5*'Inputs-new'!AE2))</f>
        <v>51.819659299188743</v>
      </c>
      <c r="AH2" s="16">
        <v>43425</v>
      </c>
      <c r="AI2" s="1">
        <v>109.8</v>
      </c>
      <c r="AJ2" s="1">
        <v>240438.39</v>
      </c>
      <c r="AK2" s="2">
        <f>IF(AH2="","",(AH2-$L2)*24)</f>
        <v>33</v>
      </c>
      <c r="AL2" s="19">
        <f>IF(AI2 = "", "", AI2*AJ2/1000000)</f>
        <v>26.400135221999999</v>
      </c>
      <c r="AM2" s="17">
        <f>IF(AL2 = "", "", AL2*EXP(AK2*DATA!$B$4)*EXP(-DATA!$B$5*'Inputs-new'!AK2))</f>
        <v>29.447749729482553</v>
      </c>
      <c r="AN2" s="15">
        <v>43426.333333333336</v>
      </c>
      <c r="AO2" s="1">
        <v>56</v>
      </c>
      <c r="AP2" s="1">
        <v>228751.2</v>
      </c>
      <c r="AQ2" s="2">
        <f>IF(AN2="","",(AN2-$L2)*24)</f>
        <v>65.000000000058208</v>
      </c>
      <c r="AR2" s="19">
        <f>IF(AO2 = "", "", AO2*AP2/1000000)</f>
        <v>12.810067200000001</v>
      </c>
      <c r="AS2" s="17">
        <f>IF(AR2 = "", "", AR2*EXP(AQ2*DATA!$B$4)*EXP(-DATA!$B$5*'Inputs-new'!AQ2))</f>
        <v>15.885671438413086</v>
      </c>
      <c r="AT2" s="16">
        <v>43427.333333333336</v>
      </c>
      <c r="AU2" s="1">
        <v>26.5</v>
      </c>
      <c r="AV2" s="1">
        <v>221386.05</v>
      </c>
      <c r="AW2" s="2">
        <f>IF(AT2="","",(AT2-$L2)*24)</f>
        <v>89.000000000058208</v>
      </c>
      <c r="AX2" s="19">
        <f>IF(AU2 = "", "", AU2*AV2/1000000)</f>
        <v>5.8667303249999989</v>
      </c>
      <c r="AY2" s="17">
        <f>IF(AX2 = "", "", AX2*EXP(AW2*DATA!$B$4)*EXP(-DATA!$B$5*'Inputs-new'!AW2))</f>
        <v>7.8769202351004761</v>
      </c>
      <c r="AZ2" s="16">
        <v>43423.694444444445</v>
      </c>
      <c r="BA2" s="16">
        <v>43427.46875</v>
      </c>
      <c r="BB2" s="1">
        <v>3976</v>
      </c>
      <c r="BC2" s="63">
        <f>IF(AZ2 = "", "", 24*(AZ2-$L2))</f>
        <v>1.6666666666860692</v>
      </c>
      <c r="BD2" s="12">
        <f>IF(BB2 = "", "", BB2*EXP(DATA!$B$4*(BA2-AZ2)*24))</f>
        <v>7434.6337330533752</v>
      </c>
      <c r="BE2" s="12">
        <f>IF(BD2 = "", "", BD2*EXP(BC2*DATA!$B$4)*EXP(-BC2*DATA!$B$5))</f>
        <v>7475.7684028564263</v>
      </c>
      <c r="BF2" s="14">
        <f>BD2*$S$2/$T$2</f>
        <v>1.669417399778545E-3</v>
      </c>
      <c r="BG2" s="2">
        <f>BE2*($S$2/$T$2)</f>
        <v>1.6786540260830874E-3</v>
      </c>
      <c r="BH2" s="16">
        <v>43424.322222222225</v>
      </c>
      <c r="BI2" s="16">
        <v>43427.470138888886</v>
      </c>
      <c r="BJ2" s="1">
        <v>3509</v>
      </c>
      <c r="BK2" s="12">
        <f>IF(BH2 = "", "", 24*(BH2-$L2))</f>
        <v>16.733333333395422</v>
      </c>
      <c r="BL2" s="12">
        <f>IF(BJ2 = "", "", BJ2*EXP(DATA!$B$4*(BI2-BH2)*24))</f>
        <v>5914.064834133691</v>
      </c>
      <c r="BM2" s="12">
        <f>IF(BL2 = "", "", BL2*EXP(BK2*DATA!$B$4)*EXP(-BK2*DATA!$B$5))</f>
        <v>6250.9286077095803</v>
      </c>
      <c r="BN2" s="14">
        <f>BL2*$S$2/$T$2</f>
        <v>1.327979708486107E-3</v>
      </c>
      <c r="BO2" s="14">
        <f>BM2*($S$2/$T$2)</f>
        <v>1.4036211274389258E-3</v>
      </c>
      <c r="BP2" s="16">
        <v>43425.326388888891</v>
      </c>
      <c r="BQ2" s="16">
        <v>43427.47152777778</v>
      </c>
      <c r="BR2" s="1">
        <v>1835</v>
      </c>
      <c r="BS2" s="12">
        <f>IF(BP2 = "", "", 24*(BP2-$L2))</f>
        <v>40.833333333372138</v>
      </c>
      <c r="BT2" s="12">
        <f>IF(BR2 = "", "", BR2*EXP(DATA!$B$4*(BQ2-BP2)*24))</f>
        <v>2618.9185375497282</v>
      </c>
      <c r="BU2" s="12">
        <f>IF(BT2 = "", "", BT2*EXP(BS2*DATA!$B$4)*EXP(-BS2*DATA!$B$5))</f>
        <v>2997.9913622132203</v>
      </c>
      <c r="BV2" s="14">
        <f>BT2*$S$2/$T$2</f>
        <v>5.8806772897909883E-4</v>
      </c>
      <c r="BW2" s="2">
        <f>BU2*($S$2/$T$2)</f>
        <v>6.7318702227568109E-4</v>
      </c>
      <c r="BX2" s="16">
        <v>43426.340277777781</v>
      </c>
      <c r="BY2" s="16">
        <v>43427.472916666666</v>
      </c>
      <c r="BZ2" s="1">
        <v>1229</v>
      </c>
      <c r="CA2" s="12">
        <f>IF(BX2 = "", "", 24*(BX2-$L2))</f>
        <v>65.166666666744277</v>
      </c>
      <c r="CB2" s="12">
        <f>IF(BZ2 = "", "", BZ2*EXP(DATA!$B$4*(BY2-BX2)*24))</f>
        <v>1482.9306767887431</v>
      </c>
      <c r="CC2" s="12">
        <f>IF(CB2 = "", "", CB2*EXP(CA2*DATA!$B$4)*EXP(-CA2*DATA!$B$5))</f>
        <v>1839.9865282083713</v>
      </c>
      <c r="CD2" s="14">
        <f>CB2*$S$2/$T$2</f>
        <v>3.329861783896878E-4</v>
      </c>
      <c r="CE2" s="60">
        <f>CC2*($S$2/$T$2)</f>
        <v>4.1316164801673884E-4</v>
      </c>
      <c r="CF2" s="16">
        <v>43427.375</v>
      </c>
      <c r="CG2" s="16">
        <v>43427.474305555559</v>
      </c>
      <c r="CH2" s="1">
        <v>687</v>
      </c>
      <c r="CI2" s="12">
        <f>IF(CF2 = "", "", 24*(CF2-$L2))</f>
        <v>90</v>
      </c>
      <c r="CJ2" s="12">
        <f>IF(CH2 = "", "", CH2*EXP(DATA!$B$4*(CG2-CF2)*24))</f>
        <v>698.40670474286139</v>
      </c>
      <c r="CK2" s="12">
        <f>IF(CJ2 = "", "", CJ2*EXP(CI2*DATA!$B$4)*EXP(-CI2*DATA!$B$5))</f>
        <v>940.81986444647362</v>
      </c>
      <c r="CL2" s="61">
        <f>CJ2*$S$2/$T$2</f>
        <v>1.5682444446942322E-4</v>
      </c>
      <c r="CM2" s="62">
        <f>CK2*($S$2/$T$2)</f>
        <v>2.112573541829595E-4</v>
      </c>
      <c r="CN2" s="40">
        <f>AA2</f>
        <v>92.747966323137391</v>
      </c>
      <c r="CO2" s="37">
        <f>AG2</f>
        <v>51.819659299188743</v>
      </c>
      <c r="CP2" s="37">
        <f>AM2</f>
        <v>29.447749729482553</v>
      </c>
      <c r="CQ2" s="37">
        <f>AS2</f>
        <v>15.885671438413086</v>
      </c>
      <c r="CR2" s="37">
        <f>AY2</f>
        <v>7.8769202351004761</v>
      </c>
      <c r="CS2" s="37">
        <f>Y2</f>
        <v>2.0000000000582077</v>
      </c>
      <c r="CT2" s="37">
        <f>AE2</f>
        <v>16.950000000069849</v>
      </c>
      <c r="CU2" s="37">
        <f>AK2</f>
        <v>33</v>
      </c>
      <c r="CV2" s="37">
        <f>AQ2</f>
        <v>65.000000000058208</v>
      </c>
      <c r="CW2" s="37">
        <f>AW2</f>
        <v>89.000000000058208</v>
      </c>
      <c r="CX2" s="64">
        <f t="array" ref="CX2:CY2">LOGEST(CN2:CR2, CS2:CW2, TRUE, FALSE)</f>
        <v>0.97331581281617396</v>
      </c>
      <c r="CY2" s="64">
        <v>85.796476970984727</v>
      </c>
      <c r="CZ2" s="2">
        <v>0</v>
      </c>
      <c r="DA2" s="2">
        <v>2</v>
      </c>
      <c r="DB2" s="2">
        <v>4</v>
      </c>
      <c r="DC2" s="2">
        <v>10</v>
      </c>
      <c r="DD2" s="2">
        <v>18</v>
      </c>
      <c r="DE2" s="2">
        <v>24</v>
      </c>
      <c r="DF2" s="2">
        <v>26</v>
      </c>
      <c r="DG2" s="2">
        <v>34</v>
      </c>
      <c r="DH2" s="2">
        <v>42</v>
      </c>
      <c r="DI2" s="2">
        <v>48</v>
      </c>
      <c r="DJ2" s="2">
        <v>50</v>
      </c>
      <c r="DK2" s="2">
        <v>58</v>
      </c>
      <c r="DL2" s="2">
        <v>66</v>
      </c>
      <c r="DM2" s="2">
        <v>74</v>
      </c>
      <c r="DN2" s="2">
        <f>($CY$2*$CX$2^CZ2)/$I2</f>
        <v>0.91235459533468033</v>
      </c>
      <c r="DO2" s="2">
        <f t="shared" ref="DO2:EA2" si="1">($CY$2*$CX$2^DA2)/$I2</f>
        <v>0.86431335203418957</v>
      </c>
      <c r="DP2" s="2">
        <f t="shared" si="1"/>
        <v>0.81880178422353422</v>
      </c>
      <c r="DQ2" s="2">
        <f t="shared" si="1"/>
        <v>0.69614780017863398</v>
      </c>
      <c r="DR2" s="2">
        <f t="shared" si="1"/>
        <v>0.56070146151621769</v>
      </c>
      <c r="DS2" s="2">
        <f t="shared" si="1"/>
        <v>0.47671011044707107</v>
      </c>
      <c r="DT2" s="2">
        <f t="shared" si="1"/>
        <v>0.45160830626161563</v>
      </c>
      <c r="DU2" s="2">
        <f t="shared" si="1"/>
        <v>0.36374091434143013</v>
      </c>
      <c r="DV2" s="2">
        <f t="shared" si="1"/>
        <v>0.29296948468723305</v>
      </c>
      <c r="DW2" s="2">
        <f t="shared" si="1"/>
        <v>0.24908355870021717</v>
      </c>
      <c r="DX2" s="2">
        <f t="shared" si="1"/>
        <v>0.23596773300387197</v>
      </c>
      <c r="DY2" s="2">
        <f t="shared" si="1"/>
        <v>0.1900565551338223</v>
      </c>
      <c r="DZ2" s="2">
        <f t="shared" si="1"/>
        <v>0.15307810813583961</v>
      </c>
      <c r="EA2" s="2">
        <f t="shared" si="1"/>
        <v>0.12329439084039094</v>
      </c>
      <c r="EB2" s="64">
        <f t="array" ref="EB2:EC2">LOGEST(DN2:EA2, CZ2:DM2, TRUE, TRUE)</f>
        <v>0.97331581281617396</v>
      </c>
      <c r="EC2" s="64">
        <v>0.91235459533468033</v>
      </c>
      <c r="ED2" s="2">
        <f t="shared" ref="ED2:ED15" si="2">-LN(DW2/DN2)/DI2</f>
        <v>2.7046673081258979E-2</v>
      </c>
      <c r="EE2" s="2">
        <f t="shared" ref="EE2:EE15" si="3">LN(2)/ED2</f>
        <v>25.62781671806566</v>
      </c>
      <c r="EF2" s="17">
        <f t="shared" ref="EF2:EF15" si="4">(EC2*EE2)/LN(2)</f>
        <v>33.732599665533861</v>
      </c>
      <c r="EG2" s="2">
        <f>BG2</f>
        <v>1.6786540260830874E-3</v>
      </c>
      <c r="EH2" s="2">
        <f>BO2</f>
        <v>1.4036211274389258E-3</v>
      </c>
      <c r="EI2" s="2">
        <f>BW2</f>
        <v>6.7318702227568109E-4</v>
      </c>
      <c r="EJ2" s="2">
        <f>CE2</f>
        <v>4.1316164801673884E-4</v>
      </c>
      <c r="EK2" s="2">
        <f>CM2</f>
        <v>2.112573541829595E-4</v>
      </c>
      <c r="EL2" s="12">
        <f>BC2</f>
        <v>1.6666666666860692</v>
      </c>
      <c r="EM2" s="12">
        <f>BK2</f>
        <v>16.733333333395422</v>
      </c>
      <c r="EN2" s="12">
        <f>BS2</f>
        <v>40.833333333372138</v>
      </c>
      <c r="EO2" s="12">
        <f>CA2</f>
        <v>65.166666666744277</v>
      </c>
      <c r="EP2" s="12">
        <f>CI2</f>
        <v>90</v>
      </c>
      <c r="EQ2" s="35">
        <v>0.98023400000000005</v>
      </c>
      <c r="ER2" s="35">
        <v>1.7723350000000001E-3</v>
      </c>
      <c r="ES2" s="53">
        <v>0</v>
      </c>
      <c r="ET2" s="53">
        <v>2</v>
      </c>
      <c r="EU2" s="53">
        <v>4</v>
      </c>
      <c r="EV2" s="53">
        <v>10</v>
      </c>
      <c r="EW2" s="53">
        <v>18</v>
      </c>
      <c r="EX2" s="53">
        <v>24</v>
      </c>
      <c r="EY2" s="53">
        <v>26</v>
      </c>
      <c r="EZ2" s="53">
        <v>34</v>
      </c>
      <c r="FA2" s="53">
        <v>42</v>
      </c>
      <c r="FB2" s="53">
        <v>48</v>
      </c>
      <c r="FC2" s="53">
        <v>50</v>
      </c>
      <c r="FD2" s="53">
        <v>58</v>
      </c>
      <c r="FE2" s="53">
        <v>66</v>
      </c>
      <c r="FF2" s="53">
        <v>72</v>
      </c>
      <c r="FG2" s="53">
        <v>78</v>
      </c>
      <c r="FH2" s="53">
        <v>84</v>
      </c>
      <c r="FI2" s="53">
        <v>90</v>
      </c>
      <c r="FJ2" s="53">
        <v>96</v>
      </c>
      <c r="FK2" s="54">
        <f t="shared" ref="FK2:GB2" si="5">($ER2*$EQ$2^ES2)/$I2</f>
        <v>1.8846904194788076E-5</v>
      </c>
      <c r="FL2" s="54">
        <f t="shared" si="5"/>
        <v>1.8109211764795453E-5</v>
      </c>
      <c r="FM2" s="54">
        <f t="shared" si="5"/>
        <v>1.7400393579381359E-5</v>
      </c>
      <c r="FN2" s="54">
        <f t="shared" si="5"/>
        <v>1.5436102185671362E-5</v>
      </c>
      <c r="FO2" s="54">
        <f t="shared" si="5"/>
        <v>1.315757161499953E-5</v>
      </c>
      <c r="FP2" s="54">
        <f t="shared" si="5"/>
        <v>1.1672242874154727E-5</v>
      </c>
      <c r="FQ2" s="54">
        <f t="shared" si="5"/>
        <v>1.1215376052935335E-5</v>
      </c>
      <c r="FR2" s="54">
        <f t="shared" si="5"/>
        <v>9.5598689248525006E-6</v>
      </c>
      <c r="FS2" s="54">
        <f t="shared" si="5"/>
        <v>8.1487320112143059E-6</v>
      </c>
      <c r="FT2" s="54">
        <f t="shared" si="5"/>
        <v>7.2288399360003102E-6</v>
      </c>
      <c r="FU2" s="54">
        <f t="shared" si="5"/>
        <v>6.9458937055053045E-6</v>
      </c>
      <c r="FV2" s="54">
        <f t="shared" si="5"/>
        <v>5.9206069486372499E-6</v>
      </c>
      <c r="FW2" s="54">
        <f t="shared" si="5"/>
        <v>5.0466632699069766E-6</v>
      </c>
      <c r="FX2" s="54">
        <f t="shared" si="5"/>
        <v>4.476956775464391E-6</v>
      </c>
      <c r="FY2" s="54">
        <f t="shared" si="5"/>
        <v>3.9715631690532758E-6</v>
      </c>
      <c r="FZ2" s="54">
        <f t="shared" si="5"/>
        <v>3.5232223130285509E-6</v>
      </c>
      <c r="GA2" s="54">
        <f t="shared" si="5"/>
        <v>3.1254936503959062E-6</v>
      </c>
      <c r="GB2" s="54">
        <f t="shared" si="5"/>
        <v>2.7726636841908426E-6</v>
      </c>
      <c r="GC2" s="44">
        <f t="array" ref="GC2:GD2">LOGEST(FK2:GB2, ES2:FJ2, TRUE, TRUE)</f>
        <v>0.98023400000000005</v>
      </c>
      <c r="GD2" s="69">
        <v>1.8846904194788099E-5</v>
      </c>
      <c r="GE2" s="2" t="e">
        <f>-LN(#REF!/#REF!)/#REF!</f>
        <v>#REF!</v>
      </c>
      <c r="GF2" s="2" t="e">
        <f>LN(2)/GE2</f>
        <v>#REF!</v>
      </c>
      <c r="GG2" s="2" t="e">
        <f>(GF2*DATA!$B$3)/(DATA!$B$3+#REF!)</f>
        <v>#REF!</v>
      </c>
      <c r="GH2" s="17" t="e">
        <f>(GG2*GD2)/LN(2)</f>
        <v>#REF!</v>
      </c>
      <c r="GI2" s="96">
        <f>DATA!B6/DW2</f>
        <v>11.883562349301778</v>
      </c>
      <c r="GJ2" s="96"/>
      <c r="GK2" s="2">
        <f t="shared" ref="GK2:GK7" si="6">IF(G2&lt;F2, 0.0188*(G2^(-2/3)), 0.0188*F2^(-2/3))</f>
        <v>8.1508803484390635E-4</v>
      </c>
      <c r="GL2" s="2" t="e">
        <f>GK2*EF2 + GH2*DATA!$B$8</f>
        <v>#REF!</v>
      </c>
      <c r="GM2" s="96" t="e">
        <f>DATA!B7/GL2</f>
        <v>#REF!</v>
      </c>
      <c r="GN2" s="96"/>
      <c r="GO2" s="50">
        <f>GI2</f>
        <v>11.883562349301778</v>
      </c>
      <c r="GP2" s="51">
        <f>ROUNDDOWN(GO2*27.027,0)</f>
        <v>321</v>
      </c>
      <c r="GQ2" s="50" t="e">
        <f>GM2</f>
        <v>#REF!</v>
      </c>
      <c r="GR2" s="51" t="e">
        <f>ROUNDDOWN(GQ2 * 27.027,0)</f>
        <v>#REF!</v>
      </c>
      <c r="GS2" s="1"/>
      <c r="GT2" s="1"/>
      <c r="GU2" s="1"/>
      <c r="GV2" s="57">
        <f>V2</f>
        <v>43423.708333333336</v>
      </c>
      <c r="GW2" s="2">
        <f t="shared" ref="GW2:GW12" si="7">Y2</f>
        <v>2.0000000000582077</v>
      </c>
      <c r="GX2" s="1"/>
      <c r="GY2" s="2" t="str">
        <f>IF(GX2 = "", "", 0.001 * 4/3 *3.14159265*(GX2/2)^3)</f>
        <v/>
      </c>
      <c r="GZ2" s="2" t="str">
        <f t="shared" ref="GZ2:GZ7" si="8">IF(GS2 = "", "", GS2/GY2)</f>
        <v/>
      </c>
      <c r="HA2" s="1"/>
      <c r="HB2" s="1"/>
      <c r="HC2" s="1"/>
      <c r="HD2" s="57">
        <f t="shared" ref="HD2:HD12" si="9">AB2</f>
        <v>43424.331250000003</v>
      </c>
      <c r="HE2" s="2">
        <f t="shared" ref="HE2:HE12" si="10">AE2</f>
        <v>16.950000000069849</v>
      </c>
      <c r="HF2" s="1"/>
      <c r="HG2" s="1"/>
      <c r="HH2" s="1"/>
      <c r="HI2" s="57">
        <f t="shared" ref="HI2:HI8" si="11">AH2</f>
        <v>43425</v>
      </c>
      <c r="HJ2" s="2">
        <f t="shared" ref="HJ2:HJ8" si="12">AK2</f>
        <v>33</v>
      </c>
      <c r="HK2" s="1"/>
      <c r="HL2" s="1"/>
      <c r="HM2" s="1"/>
      <c r="HN2" s="57">
        <f>AN2</f>
        <v>43426.333333333336</v>
      </c>
      <c r="HO2" s="2">
        <f t="shared" ref="HO2:HO9" si="13">AQ2</f>
        <v>65.000000000058208</v>
      </c>
      <c r="HP2" s="1"/>
      <c r="HQ2" s="1"/>
      <c r="HR2" s="1"/>
      <c r="HS2" s="57">
        <f>AT2</f>
        <v>43427.333333333336</v>
      </c>
      <c r="HT2" s="2">
        <f>AW2</f>
        <v>89.000000000058208</v>
      </c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 t="str">
        <f t="shared" ref="IL2:IL8" si="14">IF(IK2="","",-LN(IJ2))</f>
        <v/>
      </c>
      <c r="IM2" s="2" t="e">
        <f t="shared" ref="IM2:IM7" si="15">LN(2)/IL2</f>
        <v>#VALUE!</v>
      </c>
      <c r="IN2" s="2"/>
      <c r="IO2" s="2"/>
      <c r="IP2" s="2"/>
      <c r="IQ2" s="2"/>
      <c r="IR2" s="2"/>
      <c r="IS2" s="2"/>
      <c r="IT2" s="2"/>
      <c r="IU2" s="2"/>
      <c r="IV2" s="72"/>
    </row>
    <row r="3" spans="1:256" ht="15.75" thickBot="1" x14ac:dyDescent="0.3">
      <c r="A3" s="1">
        <v>2</v>
      </c>
      <c r="B3" s="3"/>
      <c r="C3" s="1" t="s">
        <v>160</v>
      </c>
      <c r="D3" s="46"/>
      <c r="E3" s="1">
        <v>168</v>
      </c>
      <c r="F3" s="32">
        <v>73</v>
      </c>
      <c r="G3" s="2">
        <f>IF(C3 = "M", 65.76+(1.452*(E3-152)), 62.34+(1.247*(E3-152)))</f>
        <v>82.292000000000002</v>
      </c>
      <c r="H3" s="34"/>
      <c r="I3" s="63">
        <f>AA3*EXP(DATA!$B$4*Y3)</f>
        <v>37.319185928693727</v>
      </c>
      <c r="J3" s="63"/>
      <c r="K3" s="34">
        <v>0.61176470588235288</v>
      </c>
      <c r="L3" s="15">
        <v>44144.651388888888</v>
      </c>
      <c r="M3" s="11">
        <v>44144.674305555556</v>
      </c>
      <c r="N3" s="3">
        <v>8.0500000000000007</v>
      </c>
      <c r="O3" s="11">
        <v>44152.427083333336</v>
      </c>
      <c r="P3" s="1">
        <v>200</v>
      </c>
      <c r="Q3" s="1">
        <v>125373.5</v>
      </c>
      <c r="R3" s="1"/>
      <c r="S3" s="2">
        <f>N3/P3</f>
        <v>4.0250000000000001E-2</v>
      </c>
      <c r="T3" s="13">
        <f>Q3*EXP((O3-M3)*24*DATA!$B$4)</f>
        <v>453456.43903685274</v>
      </c>
      <c r="U3" s="20">
        <f>T3/S3</f>
        <v>11265998.485387646</v>
      </c>
      <c r="V3" s="16">
        <v>44144.753472222219</v>
      </c>
      <c r="W3" s="1">
        <v>178.7</v>
      </c>
      <c r="X3" s="1">
        <v>203672.97</v>
      </c>
      <c r="Y3" s="2">
        <f t="shared" ref="Y3:Y9" si="16">IF(V3="","",(V3-$L3)*24)</f>
        <v>2.4499999999534339</v>
      </c>
      <c r="Z3" s="19">
        <f t="shared" si="0"/>
        <v>36.396359738999998</v>
      </c>
      <c r="AA3" s="17">
        <f>IF(Z3 = "", "", Z3*EXP(Y3*DATA!$B$4)*EXP(-DATA!$B$5*'Inputs-new'!Y3))</f>
        <v>36.692766074413342</v>
      </c>
      <c r="AB3" s="16">
        <v>44145.336805555555</v>
      </c>
      <c r="AC3" s="1">
        <v>138.19999999999999</v>
      </c>
      <c r="AD3" s="1">
        <v>191526</v>
      </c>
      <c r="AE3" s="2">
        <f>IF(AB3="","",(AB3-$L3)*24)</f>
        <v>16.450000000011642</v>
      </c>
      <c r="AF3" s="19">
        <f t="shared" ref="AF3:AF12" si="17">IF(AC3 = "", "", AC3*AD3/1000000)</f>
        <v>26.4688932</v>
      </c>
      <c r="AG3" s="17">
        <f>IF(AF3 = "", "", AF3*EXP(AE3*DATA!$B$4)*EXP(-DATA!$B$5*'Inputs-new'!AE3))</f>
        <v>27.950325818642632</v>
      </c>
      <c r="AH3" s="16">
        <v>44146.340277777781</v>
      </c>
      <c r="AI3" s="1">
        <v>78.5</v>
      </c>
      <c r="AJ3" s="1">
        <v>221618.9</v>
      </c>
      <c r="AK3" s="2">
        <f t="shared" ref="AK3:AK12" si="18">IF(AH3="","",(AH3-$L3)*24)</f>
        <v>40.533333333441988</v>
      </c>
      <c r="AL3" s="19">
        <f t="shared" ref="AL3:AL12" si="19">IF(AI3 = "", "", AI3*AJ3/1000000)</f>
        <v>17.397083649999999</v>
      </c>
      <c r="AM3" s="17">
        <f>IF(AL3 = "", "", AL3*EXP(AK3*DATA!$B$4)*EXP(-DATA!$B$5*'Inputs-new'!AK3))</f>
        <v>19.895438348943312</v>
      </c>
      <c r="AN3" s="15">
        <v>44148.30972222222</v>
      </c>
      <c r="AO3" s="1">
        <v>27.8</v>
      </c>
      <c r="AP3" s="1">
        <v>202103.07</v>
      </c>
      <c r="AQ3" s="2">
        <f>IF(AN3="","",(AN3-$L3)*24)</f>
        <v>87.799999999988358</v>
      </c>
      <c r="AR3" s="19">
        <f t="shared" ref="AR3:AR8" si="20">IF(AO3 = "", "", AO3*AP3/1000000)</f>
        <v>5.6184653459999998</v>
      </c>
      <c r="AS3" s="17">
        <f>IF(AR3 = "", "", AR3*EXP(AQ3*DATA!$B$4)*EXP(-DATA!$B$5*'Inputs-new'!AQ3))</f>
        <v>7.5136804493718259</v>
      </c>
      <c r="AT3" s="16"/>
      <c r="AU3" s="1"/>
      <c r="AV3" s="1"/>
      <c r="AW3" s="2" t="str">
        <f>IF(AT3="","",(AT3-$L3)*24)</f>
        <v/>
      </c>
      <c r="AX3" s="19" t="str">
        <f t="shared" ref="AX3:AX9" si="21">IF(AU3 = "", "", AU3*AV3/1000000)</f>
        <v/>
      </c>
      <c r="AY3" s="17" t="str">
        <f>IF(AX3 = "", "", AX3*EXP(AW3*DATA!$B$4)*EXP(-DATA!$B$5*'Inputs-new'!AW3))</f>
        <v/>
      </c>
      <c r="AZ3" s="16">
        <v>44144.739583333336</v>
      </c>
      <c r="BA3" s="16">
        <v>44152.427083333336</v>
      </c>
      <c r="BB3" s="1">
        <v>7168.75</v>
      </c>
      <c r="BC3" s="63">
        <f>IF(AZ3 = "", "", 24*(AZ3-$L3))</f>
        <v>2.1166666667559184</v>
      </c>
      <c r="BD3" s="12">
        <f>IF(BB3 = "", "", BB3*EXP(DATA!$B$4*(BA3-AZ3)*24))</f>
        <v>25649.102039408164</v>
      </c>
      <c r="BE3" s="12">
        <f>IF(BD3 = "", "", BD3*EXP(BC3*DATA!$B$4)*EXP(-BC3*DATA!$B$5))</f>
        <v>25829.465332755852</v>
      </c>
      <c r="BF3" s="14">
        <f>BD3*$S$3/$T$3</f>
        <v>2.2766825392951948E-3</v>
      </c>
      <c r="BG3" s="2">
        <f>BE3*($S$3/$T$3)</f>
        <v>2.292692065089258E-3</v>
      </c>
      <c r="BH3" s="16">
        <v>44145.322916666664</v>
      </c>
      <c r="BI3" s="16">
        <v>44152.427083333336</v>
      </c>
      <c r="BJ3" s="1">
        <v>5839.5</v>
      </c>
      <c r="BK3" s="12">
        <f>IF(BH3 = "", "", 24*(BH3-$L3))</f>
        <v>16.116666666639503</v>
      </c>
      <c r="BL3" s="12">
        <f>IF(BJ3 = "", "", BJ3*EXP(DATA!$B$4*(BI3-BH3)*24))</f>
        <v>18966.82445678359</v>
      </c>
      <c r="BM3" s="12">
        <f>IF(BL3 = "", "", BL3*EXP(BK3*DATA!$B$4)*EXP(-BK3*DATA!$B$5))</f>
        <v>20006.285669786132</v>
      </c>
      <c r="BN3" s="14">
        <f>BL3*$S$3/$T$3</f>
        <v>1.6835458021216814E-3</v>
      </c>
      <c r="BO3" s="14">
        <f>BM3*($S$3/$T$3)</f>
        <v>1.7758111449894933E-3</v>
      </c>
      <c r="BP3" s="16">
        <v>44146.333333333336</v>
      </c>
      <c r="BQ3" s="16">
        <v>44152.427083333336</v>
      </c>
      <c r="BR3" s="1">
        <v>4446</v>
      </c>
      <c r="BS3" s="12">
        <f>IF(BP3 = "", "", 24*(BP3-$L3))</f>
        <v>40.366666666755918</v>
      </c>
      <c r="BT3" s="12">
        <f>IF(BR3 = "", "", BR3*EXP(DATA!$B$4*(BQ3-BP3)*24))</f>
        <v>12212.975910824787</v>
      </c>
      <c r="BU3" s="12">
        <f>IF(BT3 = "", "", BT3*EXP(BS3*DATA!$B$4)*EXP(-BS3*DATA!$B$5))</f>
        <v>13959.148744012564</v>
      </c>
      <c r="BV3" s="14">
        <f>BT3*$S$3/$T$3</f>
        <v>1.0840562358201452E-3</v>
      </c>
      <c r="BW3" s="2">
        <f>BU3*($S$3/$T$3)</f>
        <v>1.2390511823801521E-3</v>
      </c>
      <c r="BX3" s="16">
        <v>44148.302083333336</v>
      </c>
      <c r="BY3" s="16">
        <v>44152.427083333336</v>
      </c>
      <c r="BZ3" s="1">
        <v>1752</v>
      </c>
      <c r="CA3" s="12">
        <f t="shared" ref="CA3:CA12" si="22">IF(BX3 = "", "", 24*(BX3-$L3))</f>
        <v>87.616666666755918</v>
      </c>
      <c r="CB3" s="12">
        <f>IF(BZ3 = "", "", BZ3*EXP(DATA!$B$4*(BY3-BX3)*24))</f>
        <v>3472.1875577737546</v>
      </c>
      <c r="CC3" s="12">
        <f>IF(CB3 = "", "", CB3*EXP(CA3*DATA!$B$4)*EXP(-CA3*DATA!$B$5))</f>
        <v>4640.6049850448298</v>
      </c>
      <c r="CD3" s="14">
        <f>CB3*$S$3/$T$3</f>
        <v>3.0820060576763713E-4</v>
      </c>
      <c r="CE3" s="60">
        <f>CC3*($S$3/$T$3)</f>
        <v>4.1191244531621767E-4</v>
      </c>
      <c r="CF3" s="16"/>
      <c r="CG3" s="16"/>
      <c r="CH3" s="1"/>
      <c r="CI3" s="12" t="str">
        <f t="shared" ref="CI3:CI12" si="23">IF(CF3 = "", "", 24*(CF3-$L3))</f>
        <v/>
      </c>
      <c r="CJ3" s="12" t="str">
        <f>IF(CH3 = "", "", CH3*EXP(DATA!$B$4*(CG3-CF3)*24))</f>
        <v/>
      </c>
      <c r="CK3" s="12" t="str">
        <f>IF(CJ3 = "", "", CJ3*EXP(CI3*DATA!$B$4)*EXP(-CI3*DATA!$B$5))</f>
        <v/>
      </c>
      <c r="CL3" s="61"/>
      <c r="CM3" s="62"/>
      <c r="CN3" s="40">
        <f t="shared" ref="CN3:CN8" si="24">AA3</f>
        <v>36.692766074413342</v>
      </c>
      <c r="CO3" s="37">
        <f t="shared" ref="CO3:CO12" si="25">AG3</f>
        <v>27.950325818642632</v>
      </c>
      <c r="CP3" s="37">
        <f t="shared" ref="CP3:CP12" si="26">AM3</f>
        <v>19.895438348943312</v>
      </c>
      <c r="CQ3" s="37">
        <f t="shared" ref="CQ3:CQ12" si="27">AS3</f>
        <v>7.5136804493718259</v>
      </c>
      <c r="CR3" s="37" t="str">
        <f t="shared" ref="CR3:CR12" si="28">AY3</f>
        <v/>
      </c>
      <c r="CS3" s="37">
        <f t="shared" ref="CS3:CS12" si="29">Y3</f>
        <v>2.4499999999534339</v>
      </c>
      <c r="CT3" s="37">
        <f t="shared" ref="CT3:CT12" si="30">AE3</f>
        <v>16.450000000011642</v>
      </c>
      <c r="CU3" s="37">
        <f t="shared" ref="CU3:CU12" si="31">AK3</f>
        <v>40.533333333441988</v>
      </c>
      <c r="CV3" s="37">
        <f t="shared" ref="CV3:CV12" si="32">AQ3</f>
        <v>87.799999999988358</v>
      </c>
      <c r="CW3" s="37" t="str">
        <f t="shared" ref="CW3:CW12" si="33">AW3</f>
        <v/>
      </c>
      <c r="CX3" s="64">
        <f t="array" ref="CX3:CY3">LOGEST(CN3:CQ3,CS3:CV3,TRUE, FALSE)</f>
        <v>0.9817310273093558</v>
      </c>
      <c r="CY3" s="64">
        <v>39.006366325894319</v>
      </c>
      <c r="CZ3" s="2">
        <v>0</v>
      </c>
      <c r="DA3" s="2">
        <v>2</v>
      </c>
      <c r="DB3" s="2">
        <v>4</v>
      </c>
      <c r="DC3" s="2">
        <v>10</v>
      </c>
      <c r="DD3" s="2">
        <v>18</v>
      </c>
      <c r="DE3" s="2">
        <v>24</v>
      </c>
      <c r="DF3" s="2">
        <v>26</v>
      </c>
      <c r="DG3" s="2">
        <v>34</v>
      </c>
      <c r="DH3" s="2">
        <v>42</v>
      </c>
      <c r="DI3" s="2">
        <v>48</v>
      </c>
      <c r="DJ3" s="2">
        <v>50</v>
      </c>
      <c r="DK3" s="2">
        <v>58</v>
      </c>
      <c r="DL3" s="2">
        <v>66</v>
      </c>
      <c r="DM3" s="2">
        <v>74</v>
      </c>
      <c r="DN3" s="2">
        <f t="shared" ref="DN3:EA3" si="34">($CY$3*$CX$3^CZ3)/$I$3</f>
        <v>1.0452094641191882</v>
      </c>
      <c r="DO3" s="2">
        <f t="shared" si="34"/>
        <v>1.0073685020714831</v>
      </c>
      <c r="DP3" s="2">
        <f t="shared" si="34"/>
        <v>0.97089754140422124</v>
      </c>
      <c r="DQ3" s="2">
        <f t="shared" si="34"/>
        <v>0.86921758337063837</v>
      </c>
      <c r="DR3" s="2">
        <f t="shared" si="34"/>
        <v>0.75001273683568048</v>
      </c>
      <c r="DS3" s="2">
        <f t="shared" si="34"/>
        <v>0.6714655571860062</v>
      </c>
      <c r="DT3" s="2">
        <f t="shared" si="34"/>
        <v>0.64715569056302324</v>
      </c>
      <c r="DU3" s="2">
        <f t="shared" si="34"/>
        <v>0.5584045006956464</v>
      </c>
      <c r="DV3" s="2">
        <f t="shared" si="34"/>
        <v>0.48182468445247817</v>
      </c>
      <c r="DW3" s="2">
        <f t="shared" si="34"/>
        <v>0.43136424799507955</v>
      </c>
      <c r="DX3" s="2">
        <f t="shared" si="34"/>
        <v>0.4157470547936436</v>
      </c>
      <c r="DY3" s="2">
        <f t="shared" si="34"/>
        <v>0.35873133765656312</v>
      </c>
      <c r="DZ3" s="2">
        <f t="shared" si="34"/>
        <v>0.30953477873882124</v>
      </c>
      <c r="EA3" s="2">
        <f t="shared" si="34"/>
        <v>0.26708505555937206</v>
      </c>
      <c r="EB3" s="64">
        <f t="array" ref="EB3:EC3">LOGEST(DN3:EA3, CZ3:DM3, TRUE, TRUE)</f>
        <v>0.9817310273093558</v>
      </c>
      <c r="EC3" s="64">
        <v>1.0452094641191882</v>
      </c>
      <c r="ED3" s="2">
        <f t="shared" si="2"/>
        <v>1.8437911089563035E-2</v>
      </c>
      <c r="EE3" s="2">
        <f t="shared" si="3"/>
        <v>37.593585151427931</v>
      </c>
      <c r="EF3" s="17">
        <f t="shared" si="4"/>
        <v>56.688062928714281</v>
      </c>
      <c r="EG3" s="2">
        <f>BG3</f>
        <v>2.292692065089258E-3</v>
      </c>
      <c r="EH3" s="2">
        <f>BO3</f>
        <v>1.7758111449894933E-3</v>
      </c>
      <c r="EI3" s="2">
        <f>BW3</f>
        <v>1.2390511823801521E-3</v>
      </c>
      <c r="EJ3" s="2">
        <f>CE3</f>
        <v>4.1191244531621767E-4</v>
      </c>
      <c r="EK3" s="2"/>
      <c r="EL3" s="12">
        <f>BC3</f>
        <v>2.1166666667559184</v>
      </c>
      <c r="EM3" s="12">
        <f>BK3</f>
        <v>16.116666666639503</v>
      </c>
      <c r="EN3" s="12">
        <f>BS3</f>
        <v>40.366666666755918</v>
      </c>
      <c r="EO3" s="12">
        <f>CA3</f>
        <v>87.616666666755918</v>
      </c>
      <c r="EP3" s="12"/>
      <c r="EQ3" s="35">
        <f t="array" ref="EQ3:ER3">LOGEST(EG3:EJ3, EL3:EO3, TRUE, TRUE)</f>
        <v>0.98013567996439976</v>
      </c>
      <c r="ER3" s="35">
        <v>2.4999705645579328E-3</v>
      </c>
      <c r="ES3" s="53">
        <v>0</v>
      </c>
      <c r="ET3" s="53">
        <v>2</v>
      </c>
      <c r="EU3" s="53">
        <v>4</v>
      </c>
      <c r="EV3" s="53">
        <v>10</v>
      </c>
      <c r="EW3" s="53">
        <v>18</v>
      </c>
      <c r="EX3" s="53">
        <v>24</v>
      </c>
      <c r="EY3" s="53">
        <v>26</v>
      </c>
      <c r="EZ3" s="53">
        <v>34</v>
      </c>
      <c r="FA3" s="53">
        <v>42</v>
      </c>
      <c r="FB3" s="53">
        <v>48</v>
      </c>
      <c r="FC3" s="53">
        <v>50</v>
      </c>
      <c r="FD3" s="53">
        <v>58</v>
      </c>
      <c r="FE3" s="53">
        <v>66</v>
      </c>
      <c r="FF3" s="53">
        <v>72</v>
      </c>
      <c r="FG3" s="53">
        <v>78</v>
      </c>
      <c r="FH3" s="53">
        <v>84</v>
      </c>
      <c r="FI3" s="53">
        <v>90</v>
      </c>
      <c r="FJ3" s="53">
        <v>96</v>
      </c>
      <c r="FK3" s="54">
        <f t="shared" ref="FK3:GB3" si="35">($ER3*$EQ$3^ES3)/$I3</f>
        <v>6.6988882590704422E-5</v>
      </c>
      <c r="FL3" s="54">
        <f t="shared" si="35"/>
        <v>6.4353938609756377E-5</v>
      </c>
      <c r="FM3" s="54">
        <f t="shared" si="35"/>
        <v>6.1822637644100205E-5</v>
      </c>
      <c r="FN3" s="54">
        <f t="shared" si="35"/>
        <v>5.4810621302743268E-5</v>
      </c>
      <c r="FO3" s="54">
        <f t="shared" si="35"/>
        <v>4.668252281822703E-5</v>
      </c>
      <c r="FP3" s="54">
        <f t="shared" si="35"/>
        <v>4.138772102181072E-5</v>
      </c>
      <c r="FQ3" s="54">
        <f t="shared" si="35"/>
        <v>3.9759774380904822E-5</v>
      </c>
      <c r="FR3" s="54">
        <f t="shared" si="35"/>
        <v>3.3863629542386724E-5</v>
      </c>
      <c r="FS3" s="54">
        <f t="shared" si="35"/>
        <v>2.884184891991608E-5</v>
      </c>
      <c r="FT3" s="54">
        <f t="shared" si="35"/>
        <v>2.5570563131275847E-5</v>
      </c>
      <c r="FU3" s="54">
        <f t="shared" si="35"/>
        <v>2.456476935167402E-5</v>
      </c>
      <c r="FV3" s="54">
        <f t="shared" si="35"/>
        <v>2.0921955973642873E-5</v>
      </c>
      <c r="FW3" s="54">
        <f t="shared" si="35"/>
        <v>1.7819350774128907E-5</v>
      </c>
      <c r="FX3" s="54">
        <f t="shared" si="35"/>
        <v>1.5798253267098046E-5</v>
      </c>
      <c r="FY3" s="54">
        <f t="shared" si="35"/>
        <v>1.4006391672458382E-5</v>
      </c>
      <c r="FZ3" s="54">
        <f t="shared" si="35"/>
        <v>1.2417765709002802E-5</v>
      </c>
      <c r="GA3" s="54">
        <f t="shared" si="35"/>
        <v>1.1009324086438369E-5</v>
      </c>
      <c r="GB3" s="54">
        <f t="shared" si="35"/>
        <v>9.7606300264111918E-6</v>
      </c>
      <c r="GC3" s="35">
        <f t="array" ref="GC3:GD3">LOGEST(FK3:GB3, ES3:FJ3, TRUE, TRUE)</f>
        <v>0.98013567996439976</v>
      </c>
      <c r="GD3" s="69">
        <v>6.6988882590704435E-5</v>
      </c>
      <c r="GE3" s="2" t="e">
        <f>-LN(#REF!/#REF!)/#REF!</f>
        <v>#REF!</v>
      </c>
      <c r="GF3" s="2" t="e">
        <f>LN(2)/GE3</f>
        <v>#REF!</v>
      </c>
      <c r="GG3" s="2" t="e">
        <f>(GF3*DATA!$B$3)/(DATA!$B$3+#REF!)</f>
        <v>#REF!</v>
      </c>
      <c r="GH3" s="17" t="e">
        <f>(GG3*GD3)/LN(2)</f>
        <v>#REF!</v>
      </c>
      <c r="GI3" s="96">
        <f>DATA!B6/DW3</f>
        <v>6.861950228276136</v>
      </c>
      <c r="GJ3" s="96"/>
      <c r="GK3" s="2">
        <f t="shared" si="6"/>
        <v>1.0763229711228384E-3</v>
      </c>
      <c r="GL3" s="2" t="e">
        <f>GK3*EF3 + GH3*DATA!$B$8</f>
        <v>#REF!</v>
      </c>
      <c r="GM3" s="96" t="e">
        <f>DATA!B7/GL3</f>
        <v>#REF!</v>
      </c>
      <c r="GN3" s="96"/>
      <c r="GO3" s="50">
        <f>GI3</f>
        <v>6.861950228276136</v>
      </c>
      <c r="GP3" s="51">
        <f>ROUNDDOWN(GO3*27.027,0)</f>
        <v>185</v>
      </c>
      <c r="GQ3" s="50" t="e">
        <f t="shared" ref="GQ3:GQ12" si="36">GM3</f>
        <v>#REF!</v>
      </c>
      <c r="GR3" s="51" t="e">
        <f t="shared" ref="GR3:GR12" si="37">ROUNDDOWN(GQ3 * 27.027,0)</f>
        <v>#REF!</v>
      </c>
      <c r="GS3" s="1"/>
      <c r="GT3" s="1"/>
      <c r="GU3" s="1"/>
      <c r="GV3" s="57">
        <f>V3</f>
        <v>44144.753472222219</v>
      </c>
      <c r="GW3" s="2">
        <f t="shared" si="7"/>
        <v>2.4499999999534339</v>
      </c>
      <c r="GX3" s="1"/>
      <c r="GY3" s="2" t="str">
        <f t="shared" ref="GY3:GY8" si="38">IF(GX3 = "", "", 0.001 * 4/3 *3.14159265*(GX3/2)^3)</f>
        <v/>
      </c>
      <c r="GZ3" s="2" t="str">
        <f t="shared" si="8"/>
        <v/>
      </c>
      <c r="HA3" s="1"/>
      <c r="HB3" s="1"/>
      <c r="HC3" s="1"/>
      <c r="HD3" s="57">
        <f t="shared" si="9"/>
        <v>44145.336805555555</v>
      </c>
      <c r="HE3" s="2">
        <f t="shared" si="10"/>
        <v>16.450000000011642</v>
      </c>
      <c r="HF3" s="1"/>
      <c r="HG3" s="1"/>
      <c r="HH3" s="1"/>
      <c r="HI3" s="57">
        <f t="shared" si="11"/>
        <v>44146.340277777781</v>
      </c>
      <c r="HJ3" s="2">
        <f t="shared" si="12"/>
        <v>40.533333333441988</v>
      </c>
      <c r="HK3" s="1"/>
      <c r="HL3" s="1"/>
      <c r="HM3" s="1"/>
      <c r="HN3" s="57">
        <f>AN3</f>
        <v>44148.30972222222</v>
      </c>
      <c r="HO3" s="2">
        <f t="shared" si="13"/>
        <v>87.799999999988358</v>
      </c>
      <c r="HP3" s="1"/>
      <c r="HQ3" s="1"/>
      <c r="HR3" s="1"/>
      <c r="HS3" s="57">
        <f>AT3</f>
        <v>0</v>
      </c>
      <c r="HT3" s="2" t="str">
        <f>AW3</f>
        <v/>
      </c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 t="str">
        <f t="shared" si="14"/>
        <v/>
      </c>
      <c r="IM3" s="2" t="e">
        <f t="shared" si="15"/>
        <v>#VALUE!</v>
      </c>
      <c r="IN3" s="2"/>
      <c r="IO3" s="2"/>
      <c r="IP3" s="2"/>
      <c r="IQ3" s="2"/>
      <c r="IR3" s="2"/>
      <c r="IS3" s="2"/>
      <c r="IT3" s="2"/>
      <c r="IU3" s="2"/>
      <c r="IV3" s="72"/>
    </row>
    <row r="4" spans="1:256" ht="15.75" thickBot="1" x14ac:dyDescent="0.3">
      <c r="A4" s="1">
        <v>3</v>
      </c>
      <c r="B4" s="3"/>
      <c r="C4" s="1" t="s">
        <v>159</v>
      </c>
      <c r="D4" s="46"/>
      <c r="E4" s="1">
        <v>183</v>
      </c>
      <c r="F4" s="32">
        <v>124</v>
      </c>
      <c r="G4" s="2">
        <f>IF(C4 = "M", 65.76+(1.452*(E4-152)), 62.34+(1.247*(E4-152)))</f>
        <v>110.77200000000001</v>
      </c>
      <c r="H4" s="34"/>
      <c r="I4" s="63">
        <f>AA4*EXP(DATA!$B$4*Y4)</f>
        <v>81.953905689655357</v>
      </c>
      <c r="J4" s="63"/>
      <c r="K4" s="34">
        <v>0.98450000000000004</v>
      </c>
      <c r="L4" s="15">
        <v>44214.624305555553</v>
      </c>
      <c r="M4" s="15">
        <v>44214.640277777777</v>
      </c>
      <c r="N4" s="3">
        <v>12.497</v>
      </c>
      <c r="O4" s="48">
        <v>44221.673611111109</v>
      </c>
      <c r="P4" s="1">
        <v>200</v>
      </c>
      <c r="Q4" s="1">
        <v>83219.25</v>
      </c>
      <c r="R4" s="1"/>
      <c r="S4" s="2">
        <f>N4/P4</f>
        <v>6.2484999999999999E-2</v>
      </c>
      <c r="T4" s="13">
        <f>Q4*EXP((O4-M4)*24*DATA!$B$4)</f>
        <v>267141.63105443353</v>
      </c>
      <c r="U4" s="20">
        <f>T4/S4</f>
        <v>4275292.166991014</v>
      </c>
      <c r="V4" s="16">
        <v>44214.702777777777</v>
      </c>
      <c r="W4" s="1">
        <v>280.5</v>
      </c>
      <c r="X4" s="1">
        <v>286601</v>
      </c>
      <c r="Y4" s="2">
        <f t="shared" si="16"/>
        <v>1.8833333333604969</v>
      </c>
      <c r="Z4" s="19">
        <f t="shared" si="0"/>
        <v>80.391580500000003</v>
      </c>
      <c r="AA4" s="17">
        <f>IF(Z4 = "", "", Z4*EXP(Y4*DATA!$B$4)*EXP(-DATA!$B$5*'Inputs-new'!Y4))</f>
        <v>80.894378287032865</v>
      </c>
      <c r="AB4" s="16">
        <v>44215.302083333336</v>
      </c>
      <c r="AC4" s="1">
        <v>171.6</v>
      </c>
      <c r="AD4" s="1">
        <v>285453</v>
      </c>
      <c r="AE4" s="2">
        <f>IF(AB4="","",(AB4-$L4)*24)</f>
        <v>16.266666666779201</v>
      </c>
      <c r="AF4" s="19">
        <f t="shared" si="17"/>
        <v>48.983734799999993</v>
      </c>
      <c r="AG4" s="17">
        <f>IF(AF4 = "", "", AF4*EXP(AE4*DATA!$B$4)*EXP(-DATA!$B$5*'Inputs-new'!AE4))</f>
        <v>51.693912063633611</v>
      </c>
      <c r="AH4" s="16">
        <v>44216.300694444442</v>
      </c>
      <c r="AI4" s="1">
        <v>78.8</v>
      </c>
      <c r="AJ4" s="1">
        <v>296370.3</v>
      </c>
      <c r="AK4" s="2">
        <f t="shared" si="18"/>
        <v>40.233333333337214</v>
      </c>
      <c r="AL4" s="19">
        <f t="shared" si="19"/>
        <v>23.353979639999999</v>
      </c>
      <c r="AM4" s="17">
        <f>IF(AL4 = "", "", AL4*EXP(AK4*DATA!$B$4)*EXP(-DATA!$B$5*'Inputs-new'!AK4))</f>
        <v>26.681278182879321</v>
      </c>
      <c r="AN4" s="15">
        <v>44217.287499999999</v>
      </c>
      <c r="AO4" s="1">
        <v>37.200000000000003</v>
      </c>
      <c r="AP4" s="1">
        <v>295208.51</v>
      </c>
      <c r="AQ4" s="2">
        <f t="shared" ref="AQ4:AQ12" si="39">IF(AN4="","",(AN4-$L4)*24)</f>
        <v>63.916666666686069</v>
      </c>
      <c r="AR4" s="19">
        <f t="shared" si="20"/>
        <v>10.981756572</v>
      </c>
      <c r="AS4" s="17">
        <f>IF(AR4 = "", "", AR4*EXP(AQ4*DATA!$B$4)*EXP(-DATA!$B$5*'Inputs-new'!AQ4))</f>
        <v>13.569642654821646</v>
      </c>
      <c r="AT4" s="16">
        <v>44218.284722222219</v>
      </c>
      <c r="AU4" s="1">
        <v>12.3</v>
      </c>
      <c r="AV4" s="1">
        <v>323740.95</v>
      </c>
      <c r="AW4" s="2">
        <f t="shared" ref="AW4:AW9" si="40">IF(AT4="","",(AT4-$L4)*24)</f>
        <v>87.849999999976717</v>
      </c>
      <c r="AX4" s="19">
        <f t="shared" si="21"/>
        <v>3.9820136850000005</v>
      </c>
      <c r="AY4" s="17">
        <f>IF(AX4 = "", "", AX4*EXP(AW4*DATA!$B$4)*EXP(-DATA!$B$5*'Inputs-new'!AW4))</f>
        <v>5.3261040985316921</v>
      </c>
      <c r="AZ4" s="16">
        <v>44214.697916666664</v>
      </c>
      <c r="BA4" s="16">
        <v>44221.673611111109</v>
      </c>
      <c r="BB4" s="1">
        <v>2382.5</v>
      </c>
      <c r="BC4" s="63">
        <f>IF(AZ4 = "", "", 24*(AZ4-$L4))</f>
        <v>1.7666666666627862</v>
      </c>
      <c r="BD4" s="12">
        <f>IF(BB4 = "", "", BB4*EXP(DATA!$B$4*(BA4-AZ4)*24))</f>
        <v>7575.2979645801579</v>
      </c>
      <c r="BE4" s="12">
        <f>IF(BD4 = "", "", BD4*EXP(BC4*DATA!$B$4)*EXP(-BC4*DATA!$B$5))</f>
        <v>7619.7330458377555</v>
      </c>
      <c r="BF4" s="14">
        <f>BD4*$S$4/$T$4</f>
        <v>1.7718784281149408E-3</v>
      </c>
      <c r="BG4" s="14">
        <f>BE4*$S$4/$T$4</f>
        <v>1.7822718888474435E-3</v>
      </c>
      <c r="BH4" s="16">
        <v>44215.302083333336</v>
      </c>
      <c r="BI4" s="16">
        <v>44221.673611111109</v>
      </c>
      <c r="BJ4" s="1">
        <v>1609.75</v>
      </c>
      <c r="BK4" s="12">
        <f>IF(BH4 = "", "", 24*(BH4-$L4))</f>
        <v>16.266666666779201</v>
      </c>
      <c r="BL4" s="12">
        <f>IF(BJ4 = "", "", BJ4*EXP(DATA!$B$4*(BI4-BH4)*24))</f>
        <v>4630.3639410049263</v>
      </c>
      <c r="BM4" s="12">
        <f>IF(BL4 = "", "", BL4*EXP(BK4*DATA!$B$4)*EXP(-BK4*DATA!$B$5))</f>
        <v>4886.553207227651</v>
      </c>
      <c r="BN4" s="14">
        <f>BL4*$S$4/$T$4</f>
        <v>1.0830520488764196E-3</v>
      </c>
      <c r="BO4" s="14">
        <f>BM4*($S$4/$T$4)</f>
        <v>1.1429752672708791E-3</v>
      </c>
      <c r="BP4" s="16">
        <v>44216.347222222219</v>
      </c>
      <c r="BQ4" s="16">
        <v>44221.673611111109</v>
      </c>
      <c r="BR4" s="1">
        <v>854.25</v>
      </c>
      <c r="BS4" s="12">
        <f>IF(BP4 = "", "", 24*(BP4-$L4))</f>
        <v>41.349999999976717</v>
      </c>
      <c r="BT4" s="12">
        <f>IF(BR4 = "", "", BR4*EXP(DATA!$B$4*(BQ4-BP4)*24))</f>
        <v>2066.2086713973749</v>
      </c>
      <c r="BU4" s="12">
        <f>IF(BT4 = "", "", BT4*EXP(BS4*DATA!$B$4)*EXP(-BS4*DATA!$B$5))</f>
        <v>2369.3292074937804</v>
      </c>
      <c r="BV4" s="14">
        <f>BT4*$S$4/$T$4</f>
        <v>4.8329063621670322E-4</v>
      </c>
      <c r="BW4" s="2">
        <f>BU4*$S$4/$T$4</f>
        <v>5.5419117921041029E-4</v>
      </c>
      <c r="BX4" s="16">
        <v>44217.340277777781</v>
      </c>
      <c r="BY4" s="16">
        <v>44221.673611111109</v>
      </c>
      <c r="BZ4" s="1">
        <v>453.25</v>
      </c>
      <c r="CA4" s="12">
        <f t="shared" si="22"/>
        <v>65.183333333465271</v>
      </c>
      <c r="CB4" s="12">
        <f>IF(BZ4 = "", "", BZ4*EXP(DATA!$B$4*(BY4-BX4)*24))</f>
        <v>929.84460593492133</v>
      </c>
      <c r="CC4" s="12">
        <f>IF(CB4 = "", "", CB4*EXP(CA4*DATA!$B$4)*EXP(-CA4*DATA!$B$5))</f>
        <v>1153.7936184325547</v>
      </c>
      <c r="CD4" s="14">
        <f>CB4*$S$4/$T$4</f>
        <v>2.1749264602642432E-4</v>
      </c>
      <c r="CE4" s="60">
        <f>CC4*($S$4/$T$4)</f>
        <v>2.6987479998229083E-4</v>
      </c>
      <c r="CF4" s="16">
        <v>44218.347222222219</v>
      </c>
      <c r="CG4" s="16">
        <v>44221.673611111109</v>
      </c>
      <c r="CH4" s="1">
        <v>255.25</v>
      </c>
      <c r="CI4" s="12">
        <f t="shared" si="23"/>
        <v>89.349999999976717</v>
      </c>
      <c r="CJ4" s="12">
        <f>IF(CH4 = "", "", CH4*EXP(DATA!$B$4*(CG4-CF4)*24))</f>
        <v>443.12010228415858</v>
      </c>
      <c r="CK4" s="12">
        <f>IF(CJ4 = "", "", CJ4*EXP(CI4*DATA!$B$4)*EXP(-CI4*DATA!$B$5))</f>
        <v>595.6415556991019</v>
      </c>
      <c r="CL4" s="61">
        <f>CJ4*$S$4/$T$4</f>
        <v>1.0364674155030441E-4</v>
      </c>
      <c r="CM4" s="62">
        <f>CK4*($S$4/$T$4)</f>
        <v>1.3932183636430147E-4</v>
      </c>
      <c r="CN4" s="40">
        <f t="shared" si="24"/>
        <v>80.894378287032865</v>
      </c>
      <c r="CO4" s="37">
        <f t="shared" si="25"/>
        <v>51.693912063633611</v>
      </c>
      <c r="CP4" s="37">
        <f t="shared" si="26"/>
        <v>26.681278182879321</v>
      </c>
      <c r="CQ4" s="37">
        <f t="shared" si="27"/>
        <v>13.569642654821646</v>
      </c>
      <c r="CR4" s="37">
        <f t="shared" si="28"/>
        <v>5.3261040985316921</v>
      </c>
      <c r="CS4" s="37">
        <f t="shared" si="29"/>
        <v>1.8833333333604969</v>
      </c>
      <c r="CT4" s="37">
        <f t="shared" si="30"/>
        <v>16.266666666779201</v>
      </c>
      <c r="CU4" s="37">
        <f t="shared" si="31"/>
        <v>40.233333333337214</v>
      </c>
      <c r="CV4" s="37">
        <f t="shared" si="32"/>
        <v>63.916666666686069</v>
      </c>
      <c r="CW4" s="37">
        <f t="shared" si="33"/>
        <v>87.849999999976717</v>
      </c>
      <c r="CX4" s="64">
        <f t="array" ref="CX4:CY4">LOGEST(CN4:CR4, CS4:CW4, TRUE, TRUE)</f>
        <v>0.96955042901598321</v>
      </c>
      <c r="CY4" s="64">
        <v>88.258075699295901</v>
      </c>
      <c r="CZ4" s="2">
        <v>0</v>
      </c>
      <c r="DA4" s="2">
        <v>2</v>
      </c>
      <c r="DB4" s="2">
        <v>4</v>
      </c>
      <c r="DC4" s="2">
        <v>10</v>
      </c>
      <c r="DD4" s="2">
        <v>18</v>
      </c>
      <c r="DE4" s="2">
        <v>24</v>
      </c>
      <c r="DF4" s="2">
        <v>26</v>
      </c>
      <c r="DG4" s="2">
        <v>34</v>
      </c>
      <c r="DH4" s="2">
        <v>42</v>
      </c>
      <c r="DI4" s="2">
        <v>48</v>
      </c>
      <c r="DJ4" s="2">
        <v>50</v>
      </c>
      <c r="DK4" s="2">
        <v>58</v>
      </c>
      <c r="DL4" s="2">
        <v>66</v>
      </c>
      <c r="DM4" s="2">
        <v>74</v>
      </c>
      <c r="DN4" s="2">
        <f t="shared" ref="DN4:EA4" si="41">($CY$4*$CX$4^CZ4)/$I$4</f>
        <v>1.0769233626706369</v>
      </c>
      <c r="DO4" s="2">
        <f t="shared" si="41"/>
        <v>1.0123381518161849</v>
      </c>
      <c r="DP4" s="2">
        <f t="shared" si="41"/>
        <v>0.95162624300503673</v>
      </c>
      <c r="DQ4" s="2">
        <f t="shared" si="41"/>
        <v>0.7904762523021247</v>
      </c>
      <c r="DR4" s="2">
        <f t="shared" si="41"/>
        <v>0.61723713991475626</v>
      </c>
      <c r="DS4" s="2">
        <f t="shared" si="41"/>
        <v>0.51271316310148896</v>
      </c>
      <c r="DT4" s="2">
        <f t="shared" si="41"/>
        <v>0.4819647469239024</v>
      </c>
      <c r="DU4" s="2">
        <f t="shared" si="41"/>
        <v>0.37633836698404405</v>
      </c>
      <c r="DV4" s="2">
        <f t="shared" si="41"/>
        <v>0.29386084224657855</v>
      </c>
      <c r="DW4" s="2">
        <f t="shared" si="41"/>
        <v>0.24409795230520115</v>
      </c>
      <c r="DX4" s="2">
        <f t="shared" si="41"/>
        <v>0.22945891830776249</v>
      </c>
      <c r="DY4" s="2">
        <f t="shared" si="41"/>
        <v>0.17917118452545872</v>
      </c>
      <c r="DZ4" s="2">
        <f t="shared" si="41"/>
        <v>0.13990440467952803</v>
      </c>
      <c r="EA4" s="2">
        <f t="shared" si="41"/>
        <v>0.10924324969203936</v>
      </c>
      <c r="EB4" s="64">
        <f t="array" ref="EB4:EC4">LOGEST(DN4:EA4, CZ4:DM4, TRUE, TRUE)</f>
        <v>0.96955042901598321</v>
      </c>
      <c r="EC4" s="64">
        <v>1.0769233626706369</v>
      </c>
      <c r="ED4" s="2">
        <f t="shared" si="2"/>
        <v>3.0922790163810415E-2</v>
      </c>
      <c r="EE4" s="2">
        <f t="shared" si="3"/>
        <v>22.415415196625752</v>
      </c>
      <c r="EF4" s="17">
        <f t="shared" si="4"/>
        <v>34.826202841520512</v>
      </c>
      <c r="EG4" s="2">
        <f>BG4</f>
        <v>1.7822718888474435E-3</v>
      </c>
      <c r="EH4" s="2">
        <f>BO4</f>
        <v>1.1429752672708791E-3</v>
      </c>
      <c r="EI4" s="2">
        <f>BW4</f>
        <v>5.5419117921041029E-4</v>
      </c>
      <c r="EJ4" s="2">
        <f>CE4</f>
        <v>2.6987479998229083E-4</v>
      </c>
      <c r="EK4" s="2">
        <f>CM4</f>
        <v>1.3932183636430147E-4</v>
      </c>
      <c r="EL4" s="12">
        <f t="shared" ref="EL4:EL12" si="42">BC4</f>
        <v>1.7666666666627862</v>
      </c>
      <c r="EM4" s="12">
        <f>BK4</f>
        <v>16.266666666779201</v>
      </c>
      <c r="EN4" s="12">
        <f>BS4</f>
        <v>41.349999999976717</v>
      </c>
      <c r="EO4" s="12">
        <f>CA4</f>
        <v>65.183333333465271</v>
      </c>
      <c r="EP4" s="12">
        <f t="shared" ref="EP4:EP12" si="43">CI4</f>
        <v>89.349999999976717</v>
      </c>
      <c r="EQ4" s="35">
        <f t="array" ref="EQ4:ER4">LOGEST(EG4:EK4, EL4:EP4, TRUE, TRUE)</f>
        <v>0.97125395571985129</v>
      </c>
      <c r="ER4" s="35">
        <v>1.8514645397502681E-3</v>
      </c>
      <c r="ES4" s="53">
        <v>0</v>
      </c>
      <c r="ET4" s="53">
        <v>2</v>
      </c>
      <c r="EU4" s="53">
        <v>4</v>
      </c>
      <c r="EV4" s="53">
        <v>10</v>
      </c>
      <c r="EW4" s="53">
        <v>18</v>
      </c>
      <c r="EX4" s="53">
        <v>24</v>
      </c>
      <c r="EY4" s="53">
        <v>26</v>
      </c>
      <c r="EZ4" s="53">
        <v>34</v>
      </c>
      <c r="FA4" s="53">
        <v>42</v>
      </c>
      <c r="FB4" s="53">
        <v>48</v>
      </c>
      <c r="FC4" s="53">
        <v>50</v>
      </c>
      <c r="FD4" s="53">
        <v>58</v>
      </c>
      <c r="FE4" s="53">
        <v>66</v>
      </c>
      <c r="FF4" s="53">
        <v>72</v>
      </c>
      <c r="FG4" s="53">
        <v>78</v>
      </c>
      <c r="FH4" s="53">
        <v>84</v>
      </c>
      <c r="FI4" s="53">
        <v>90</v>
      </c>
      <c r="FJ4" s="53">
        <v>96</v>
      </c>
      <c r="FK4" s="54">
        <f t="shared" ref="FK4:GB4" si="44">($ER4*$EQ$4^ES4)/$I4</f>
        <v>2.2591535133925526E-5</v>
      </c>
      <c r="FL4" s="54">
        <f t="shared" si="44"/>
        <v>2.1311368772872868E-5</v>
      </c>
      <c r="FM4" s="54">
        <f t="shared" si="44"/>
        <v>2.0103744003272745E-5</v>
      </c>
      <c r="FN4" s="54">
        <f t="shared" si="44"/>
        <v>1.6876164462560828E-5</v>
      </c>
      <c r="FO4" s="54">
        <f t="shared" si="44"/>
        <v>1.3363990366021336E-5</v>
      </c>
      <c r="FP4" s="54">
        <f t="shared" si="44"/>
        <v>1.1218452605461917E-5</v>
      </c>
      <c r="FQ4" s="54">
        <f t="shared" si="44"/>
        <v>1.0582750535485743E-5</v>
      </c>
      <c r="FR4" s="54">
        <f t="shared" si="44"/>
        <v>8.3803269703842457E-6</v>
      </c>
      <c r="FS4" s="54">
        <f t="shared" si="44"/>
        <v>6.6362596278781162E-6</v>
      </c>
      <c r="FT4" s="54">
        <f t="shared" si="44"/>
        <v>5.5708334168049441E-6</v>
      </c>
      <c r="FU4" s="54">
        <f t="shared" si="44"/>
        <v>5.2551579436268388E-6</v>
      </c>
      <c r="FV4" s="54">
        <f t="shared" si="44"/>
        <v>4.1614835104476531E-6</v>
      </c>
      <c r="FW4" s="54">
        <f t="shared" si="44"/>
        <v>3.2954185570635344E-6</v>
      </c>
      <c r="FX4" s="54">
        <f t="shared" si="44"/>
        <v>2.7663516573293774E-6</v>
      </c>
      <c r="FY4" s="54">
        <f t="shared" si="44"/>
        <v>2.3222244335566662E-6</v>
      </c>
      <c r="FZ4" s="54">
        <f t="shared" si="44"/>
        <v>1.9494001442367936E-6</v>
      </c>
      <c r="GA4" s="54">
        <f t="shared" si="44"/>
        <v>1.6364313747789616E-6</v>
      </c>
      <c r="GB4" s="54">
        <f t="shared" si="44"/>
        <v>1.373708549410919E-6</v>
      </c>
      <c r="GC4" s="35">
        <f t="array" ref="GC4:GD4">LOGEST(FK4:GB4, ES4:FJ4, TRUE, TRUE)</f>
        <v>0.97125395571985129</v>
      </c>
      <c r="GD4" s="69">
        <v>2.2591535133925549E-5</v>
      </c>
      <c r="GE4" s="2" t="e">
        <f>-LN(#REF!/#REF!)/#REF!</f>
        <v>#REF!</v>
      </c>
      <c r="GF4" s="2" t="e">
        <f>LN(2)/GE4</f>
        <v>#REF!</v>
      </c>
      <c r="GG4" s="2" t="e">
        <f>(GF4*DATA!$B$3)/(DATA!$B$3+#REF!)</f>
        <v>#REF!</v>
      </c>
      <c r="GH4" s="17" t="e">
        <f>(GG4*GD4)/LN(2)</f>
        <v>#REF!</v>
      </c>
      <c r="GI4" s="96">
        <f>DATA!B6/DW4</f>
        <v>12.126279520358473</v>
      </c>
      <c r="GJ4" s="96"/>
      <c r="GK4" s="2">
        <f t="shared" si="6"/>
        <v>8.1508803484390635E-4</v>
      </c>
      <c r="GL4" s="2" t="e">
        <f>GK4*EF4 + GH4*DATA!$B$8</f>
        <v>#REF!</v>
      </c>
      <c r="GM4" s="96" t="e">
        <f>DATA!$B$7/GL4</f>
        <v>#REF!</v>
      </c>
      <c r="GN4" s="96"/>
      <c r="GO4" s="50">
        <f>GI4</f>
        <v>12.126279520358473</v>
      </c>
      <c r="GP4" s="51">
        <f>ROUNDDOWN(GO4*27.027,0)</f>
        <v>327</v>
      </c>
      <c r="GQ4" s="50" t="e">
        <f t="shared" si="36"/>
        <v>#REF!</v>
      </c>
      <c r="GR4" s="51" t="e">
        <f t="shared" si="37"/>
        <v>#REF!</v>
      </c>
      <c r="GS4" s="1"/>
      <c r="GT4" s="1"/>
      <c r="GU4" s="1"/>
      <c r="GV4" s="57">
        <f>V4</f>
        <v>44214.702777777777</v>
      </c>
      <c r="GW4" s="2">
        <f t="shared" si="7"/>
        <v>1.8833333333604969</v>
      </c>
      <c r="GX4" s="1"/>
      <c r="GY4" s="2" t="str">
        <f t="shared" si="38"/>
        <v/>
      </c>
      <c r="GZ4" s="2" t="str">
        <f t="shared" si="8"/>
        <v/>
      </c>
      <c r="HA4" s="1"/>
      <c r="HB4" s="1"/>
      <c r="HC4" s="1"/>
      <c r="HD4" s="57">
        <f t="shared" si="9"/>
        <v>44215.302083333336</v>
      </c>
      <c r="HE4" s="2">
        <f t="shared" si="10"/>
        <v>16.266666666779201</v>
      </c>
      <c r="HF4" s="1"/>
      <c r="HG4" s="1"/>
      <c r="HH4" s="1"/>
      <c r="HI4" s="57">
        <f t="shared" si="11"/>
        <v>44216.300694444442</v>
      </c>
      <c r="HJ4" s="2">
        <f t="shared" si="12"/>
        <v>40.233333333337214</v>
      </c>
      <c r="HK4" s="1"/>
      <c r="HL4" s="1"/>
      <c r="HM4" s="1"/>
      <c r="HN4" s="57">
        <f>AN4</f>
        <v>44217.287499999999</v>
      </c>
      <c r="HO4" s="2">
        <f t="shared" si="13"/>
        <v>63.916666666686069</v>
      </c>
      <c r="HP4" s="1"/>
      <c r="HQ4" s="1"/>
      <c r="HR4" s="1"/>
      <c r="HS4" s="57">
        <f>AT4</f>
        <v>44218.284722222219</v>
      </c>
      <c r="HT4" s="2">
        <f>AW4</f>
        <v>87.849999999976717</v>
      </c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 t="str">
        <f t="shared" si="14"/>
        <v/>
      </c>
      <c r="IM4" s="2" t="e">
        <f t="shared" si="15"/>
        <v>#VALUE!</v>
      </c>
      <c r="IN4" s="2"/>
      <c r="IO4" s="2"/>
      <c r="IP4" s="2"/>
      <c r="IQ4" s="2"/>
      <c r="IR4" s="2"/>
      <c r="IS4" s="2"/>
      <c r="IT4" s="2"/>
      <c r="IU4" s="2"/>
      <c r="IV4" s="72"/>
    </row>
    <row r="5" spans="1:256" ht="15.75" thickBot="1" x14ac:dyDescent="0.3">
      <c r="A5" s="1">
        <v>4</v>
      </c>
      <c r="B5" s="3"/>
      <c r="C5" s="1" t="s">
        <v>159</v>
      </c>
      <c r="D5" s="46"/>
      <c r="E5" s="1">
        <v>183</v>
      </c>
      <c r="F5" s="32">
        <v>124</v>
      </c>
      <c r="G5" s="2">
        <f>IF(C5 = "M", 65.76+(1.452*(E5-152)), 62.34+(1.247*(E5-152)))</f>
        <v>110.77200000000001</v>
      </c>
      <c r="H5" s="34"/>
      <c r="I5" s="63">
        <f>AA5*EXP(DATA!$B$4*Y5)</f>
        <v>70.96027459034913</v>
      </c>
      <c r="J5" s="63"/>
      <c r="K5" s="34"/>
      <c r="L5" s="15">
        <v>44242.618055555555</v>
      </c>
      <c r="M5" s="47"/>
      <c r="N5" s="3"/>
      <c r="O5" s="48"/>
      <c r="P5" s="1"/>
      <c r="Q5" s="1"/>
      <c r="R5" s="1"/>
      <c r="S5" s="2"/>
      <c r="T5" s="13"/>
      <c r="U5" s="20"/>
      <c r="V5" s="16">
        <v>44242.69027777778</v>
      </c>
      <c r="W5" s="1">
        <v>194.3</v>
      </c>
      <c r="X5" s="1">
        <v>358797.3</v>
      </c>
      <c r="Y5" s="2">
        <f t="shared" si="16"/>
        <v>1.7333333333954215</v>
      </c>
      <c r="Z5" s="19">
        <f t="shared" si="0"/>
        <v>69.714315389999996</v>
      </c>
      <c r="AA5" s="17">
        <f>IF(Z5 = "", "", Z5*EXP(Y5*DATA!$B$4)*EXP(-DATA!$B$5*'Inputs-new'!Y5))</f>
        <v>70.115506881532212</v>
      </c>
      <c r="AB5" s="16">
        <v>44243.29583333333</v>
      </c>
      <c r="AC5" s="1">
        <v>164.9</v>
      </c>
      <c r="AD5" s="1">
        <v>323813.31</v>
      </c>
      <c r="AE5" s="2">
        <f>IF(AB5="","",(AB5-$L5)*24)</f>
        <v>16.266666666604578</v>
      </c>
      <c r="AF5" s="19">
        <f t="shared" si="17"/>
        <v>53.396814818999999</v>
      </c>
      <c r="AG5" s="17">
        <f>IF(AF5 = "", "", AF5*EXP(AE5*DATA!$B$4)*EXP(-DATA!$B$5*'Inputs-new'!AE5))</f>
        <v>56.351159440988944</v>
      </c>
      <c r="AH5" s="16">
        <v>44244.304861111108</v>
      </c>
      <c r="AI5" s="1">
        <v>84.1</v>
      </c>
      <c r="AJ5" s="1">
        <v>331043</v>
      </c>
      <c r="AK5" s="2">
        <f t="shared" si="18"/>
        <v>40.483333333279006</v>
      </c>
      <c r="AL5" s="19">
        <f t="shared" si="19"/>
        <v>27.840716299999997</v>
      </c>
      <c r="AM5" s="17">
        <f>IF(AL5 = "", "", AL5*EXP(AK5*DATA!$B$4)*EXP(-DATA!$B$5*'Inputs-new'!AK5))</f>
        <v>31.833587000263361</v>
      </c>
      <c r="AN5" s="15">
        <v>44245.31527777778</v>
      </c>
      <c r="AO5" s="1">
        <v>41.3</v>
      </c>
      <c r="AP5" s="1">
        <v>331944.12</v>
      </c>
      <c r="AQ5" s="2">
        <f t="shared" si="39"/>
        <v>64.733333333395422</v>
      </c>
      <c r="AR5" s="19">
        <f t="shared" si="20"/>
        <v>13.709292156</v>
      </c>
      <c r="AS5" s="17">
        <f>IF(AR5 = "", "", AR5*EXP(AQ5*DATA!$B$4)*EXP(-DATA!$B$5*'Inputs-new'!AQ5))</f>
        <v>16.985791851286702</v>
      </c>
      <c r="AT5" s="16"/>
      <c r="AU5" s="1"/>
      <c r="AV5" s="1"/>
      <c r="AW5" s="2" t="str">
        <f t="shared" si="40"/>
        <v/>
      </c>
      <c r="AX5" s="19" t="str">
        <f t="shared" si="21"/>
        <v/>
      </c>
      <c r="AY5" s="17" t="str">
        <f>IF(AX5 = "", "", AX5*EXP(AW5*DATA!$B$4)*EXP(-DATA!$B$5*'Inputs-new'!AW5))</f>
        <v/>
      </c>
      <c r="AZ5" s="16"/>
      <c r="BA5" s="16"/>
      <c r="BB5" s="1"/>
      <c r="BC5" s="63" t="str">
        <f t="shared" ref="BC5:BC12" si="45">IF(AZ5 = "", "", 24*(AZ5-$L5))</f>
        <v/>
      </c>
      <c r="BD5" s="12" t="str">
        <f>IF(BB5 = "", "", BB5*EXP(DATA!$B$4*(BA5-AZ5)*24))</f>
        <v/>
      </c>
      <c r="BE5" s="12" t="str">
        <f>IF(BD5 = "", "", BD5*EXP(BC5*DATA!$B$4)*EXP(-BC5*DATA!$B$5))</f>
        <v/>
      </c>
      <c r="BF5" s="14"/>
      <c r="BG5" s="14"/>
      <c r="BH5" s="16"/>
      <c r="BI5" s="16"/>
      <c r="BJ5" s="1"/>
      <c r="BK5" s="12" t="str">
        <f t="shared" ref="BK5:BK12" si="46">IF(BH5 = "", "", 24*(BH5-$L5))</f>
        <v/>
      </c>
      <c r="BL5" s="12" t="str">
        <f>IF(BJ5 = "", "", BJ5*EXP(DATA!$B$4*(BI5-BH5)*24))</f>
        <v/>
      </c>
      <c r="BM5" s="12" t="str">
        <f>IF(BL5 = "", "", BL5*EXP(BK5*DATA!$B$4)*EXP(-BK5*DATA!$B$5))</f>
        <v/>
      </c>
      <c r="BN5" s="14" t="e">
        <f>BL5*$S$4/$T$4</f>
        <v>#VALUE!</v>
      </c>
      <c r="BO5" s="14"/>
      <c r="BP5" s="16"/>
      <c r="BQ5" s="16"/>
      <c r="BR5" s="1"/>
      <c r="BS5" s="12"/>
      <c r="BT5" s="12" t="str">
        <f>IF(BR5 = "", "", BR5*EXP(DATA!$B$4*(BQ5-BP5)*24))</f>
        <v/>
      </c>
      <c r="BU5" s="12" t="str">
        <f>IF(BT5 = "", "", BT5*EXP(BS5*DATA!$B$4)*EXP(-BS5*DATA!$B$5))</f>
        <v/>
      </c>
      <c r="BV5" s="14"/>
      <c r="BW5" s="2" t="e">
        <f>BU5*$S$4/$T$4</f>
        <v>#VALUE!</v>
      </c>
      <c r="BX5" s="16"/>
      <c r="BY5" s="16"/>
      <c r="BZ5" s="1"/>
      <c r="CA5" s="12" t="str">
        <f t="shared" si="22"/>
        <v/>
      </c>
      <c r="CB5" s="12" t="str">
        <f>IF(BZ5 = "", "", BZ5*EXP(DATA!$B$4*(BY5-BX5)*24))</f>
        <v/>
      </c>
      <c r="CC5" s="12" t="str">
        <f>IF(CB5 = "", "", CB5*EXP(CA5*DATA!$B$4)*EXP(-CA5*DATA!$B$5))</f>
        <v/>
      </c>
      <c r="CD5" s="14"/>
      <c r="CE5" s="60"/>
      <c r="CF5" s="16"/>
      <c r="CG5" s="16"/>
      <c r="CH5" s="1"/>
      <c r="CI5" s="12" t="str">
        <f t="shared" si="23"/>
        <v/>
      </c>
      <c r="CJ5" s="12" t="str">
        <f>IF(CH5 = "", "", CH5*EXP(DATA!$B$4*(CG5-CF5)*24))</f>
        <v/>
      </c>
      <c r="CK5" s="12" t="str">
        <f>IF(CJ5 = "", "", CJ5*EXP(CI5*DATA!$B$4)*EXP(-CI5*DATA!$B$5))</f>
        <v/>
      </c>
      <c r="CL5" s="61" t="e">
        <f>CJ5*$S$4/$T$4</f>
        <v>#VALUE!</v>
      </c>
      <c r="CM5" s="62" t="e">
        <f>CK5*($S$4/$T$4)</f>
        <v>#VALUE!</v>
      </c>
      <c r="CN5" s="40">
        <f t="shared" si="24"/>
        <v>70.115506881532212</v>
      </c>
      <c r="CO5" s="37">
        <f t="shared" si="25"/>
        <v>56.351159440988944</v>
      </c>
      <c r="CP5" s="37">
        <f t="shared" si="26"/>
        <v>31.833587000263361</v>
      </c>
      <c r="CQ5" s="37">
        <f t="shared" si="27"/>
        <v>16.985791851286702</v>
      </c>
      <c r="CR5" s="37" t="str">
        <f t="shared" si="28"/>
        <v/>
      </c>
      <c r="CS5" s="37">
        <f t="shared" si="29"/>
        <v>1.7333333333954215</v>
      </c>
      <c r="CT5" s="37">
        <f t="shared" si="30"/>
        <v>16.266666666604578</v>
      </c>
      <c r="CU5" s="37">
        <f t="shared" si="31"/>
        <v>40.483333333279006</v>
      </c>
      <c r="CV5" s="37">
        <f t="shared" si="32"/>
        <v>64.733333333395422</v>
      </c>
      <c r="CW5" s="37" t="str">
        <f t="shared" si="33"/>
        <v/>
      </c>
      <c r="CX5" s="64">
        <f t="array" ref="CX5:CY5">LOGEST(CN5:CQ5,CS5:CV5,TRUE,TRUE)</f>
        <v>0.97741580874566703</v>
      </c>
      <c r="CY5" s="64">
        <v>77.271466577219513</v>
      </c>
      <c r="CZ5" s="2">
        <v>0</v>
      </c>
      <c r="DA5" s="2">
        <v>2</v>
      </c>
      <c r="DB5" s="2">
        <v>4</v>
      </c>
      <c r="DC5" s="2">
        <v>10</v>
      </c>
      <c r="DD5" s="2">
        <v>18</v>
      </c>
      <c r="DE5" s="2">
        <v>24</v>
      </c>
      <c r="DF5" s="2">
        <v>26</v>
      </c>
      <c r="DG5" s="2">
        <v>34</v>
      </c>
      <c r="DH5" s="2">
        <v>42</v>
      </c>
      <c r="DI5" s="2">
        <v>48</v>
      </c>
      <c r="DJ5" s="2">
        <v>50</v>
      </c>
      <c r="DK5" s="2">
        <v>58</v>
      </c>
      <c r="DL5" s="2">
        <v>66</v>
      </c>
      <c r="DM5" s="2">
        <v>74</v>
      </c>
      <c r="DN5" s="2">
        <f t="shared" ref="DN5:EA5" si="47">($CY$5*$CX$5^CZ5)/$I$5</f>
        <v>1.0889397909366141</v>
      </c>
      <c r="DO5" s="2">
        <f t="shared" si="47"/>
        <v>1.0403095509827416</v>
      </c>
      <c r="DP5" s="2">
        <f t="shared" si="47"/>
        <v>0.99385105666407747</v>
      </c>
      <c r="DQ5" s="2">
        <f t="shared" si="47"/>
        <v>0.86655764490169007</v>
      </c>
      <c r="DR5" s="2">
        <f t="shared" si="47"/>
        <v>0.7218256827770112</v>
      </c>
      <c r="DS5" s="2">
        <f t="shared" si="47"/>
        <v>0.62937354596808748</v>
      </c>
      <c r="DT5" s="2">
        <f t="shared" si="47"/>
        <v>0.60126677017038932</v>
      </c>
      <c r="DU5" s="2">
        <f t="shared" si="47"/>
        <v>0.50084353817986049</v>
      </c>
      <c r="DV5" s="2">
        <f t="shared" si="47"/>
        <v>0.41719293694783122</v>
      </c>
      <c r="DW5" s="2">
        <f t="shared" si="47"/>
        <v>0.3637584590638781</v>
      </c>
      <c r="DX5" s="2">
        <f t="shared" si="47"/>
        <v>0.34751361128004232</v>
      </c>
      <c r="DY5" s="2">
        <f t="shared" si="47"/>
        <v>0.28947208672422409</v>
      </c>
      <c r="DZ5" s="2">
        <f t="shared" si="47"/>
        <v>0.2411246243962272</v>
      </c>
      <c r="EA5" s="2">
        <f t="shared" si="47"/>
        <v>0.2008521275683891</v>
      </c>
      <c r="EB5" s="64">
        <f t="array" ref="EB5:EC5">LOGEST(DN5:EA5, CZ5:DM5, TRUE, TRUE)</f>
        <v>0.97741580874566703</v>
      </c>
      <c r="EC5" s="64">
        <v>1.0889397909366139</v>
      </c>
      <c r="ED5" s="2">
        <f t="shared" si="2"/>
        <v>2.2843119992388278E-2</v>
      </c>
      <c r="EE5" s="2">
        <f t="shared" si="3"/>
        <v>30.343805084021529</v>
      </c>
      <c r="EF5" s="17">
        <f t="shared" si="4"/>
        <v>47.67036163621551</v>
      </c>
      <c r="EG5" s="2"/>
      <c r="EH5" s="2"/>
      <c r="EI5" s="2"/>
      <c r="EJ5" s="2"/>
      <c r="EK5" s="2"/>
      <c r="EL5" s="12" t="str">
        <f t="shared" si="42"/>
        <v/>
      </c>
      <c r="EM5" s="12" t="str">
        <f t="shared" ref="EM5:EM12" si="48">BK5</f>
        <v/>
      </c>
      <c r="EN5" s="12">
        <f t="shared" ref="EN5:EN12" si="49">BS5</f>
        <v>0</v>
      </c>
      <c r="EO5" s="12" t="str">
        <f t="shared" ref="EO5:EO12" si="50">CA5</f>
        <v/>
      </c>
      <c r="EP5" s="12" t="str">
        <f t="shared" si="43"/>
        <v/>
      </c>
      <c r="EQ5" s="35"/>
      <c r="ER5" s="35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D5" s="70"/>
      <c r="GE5" s="2"/>
      <c r="GF5" s="2"/>
      <c r="GG5" s="2"/>
      <c r="GH5" s="17"/>
      <c r="GI5" s="96">
        <f>DATA!$B$6/DW5</f>
        <v>8.1372678112214203</v>
      </c>
      <c r="GJ5" s="96"/>
      <c r="GK5" s="2">
        <f t="shared" si="6"/>
        <v>8.1508803484390635E-4</v>
      </c>
      <c r="GL5" s="2">
        <f>GK5*EF5 + GH5*DATA!$B$8</f>
        <v>3.8855541386361242E-2</v>
      </c>
      <c r="GM5" s="96">
        <f>DATA!$B$7/GL5</f>
        <v>51.472709648102438</v>
      </c>
      <c r="GN5" s="96"/>
      <c r="GO5" s="93">
        <f>GI5</f>
        <v>8.1372678112214203</v>
      </c>
      <c r="GP5" s="51">
        <f>ROUNDDOWN(GO5*27.027,0)</f>
        <v>219</v>
      </c>
      <c r="GQ5" s="93">
        <f t="shared" si="36"/>
        <v>51.472709648102438</v>
      </c>
      <c r="GR5" s="51">
        <f t="shared" si="37"/>
        <v>1391</v>
      </c>
      <c r="GS5" s="1"/>
      <c r="GT5" s="1"/>
      <c r="GU5" s="1"/>
      <c r="GV5" s="57"/>
      <c r="GW5" s="2">
        <f t="shared" si="7"/>
        <v>1.7333333333954215</v>
      </c>
      <c r="GX5" s="1"/>
      <c r="GY5" s="2" t="str">
        <f t="shared" si="38"/>
        <v/>
      </c>
      <c r="GZ5" s="2" t="str">
        <f t="shared" si="8"/>
        <v/>
      </c>
      <c r="HA5" s="1"/>
      <c r="HB5" s="1"/>
      <c r="HC5" s="1"/>
      <c r="HD5" s="57">
        <f t="shared" si="9"/>
        <v>44243.29583333333</v>
      </c>
      <c r="HE5" s="2">
        <f t="shared" si="10"/>
        <v>16.266666666604578</v>
      </c>
      <c r="HF5" s="1"/>
      <c r="HG5" s="1"/>
      <c r="HH5" s="1"/>
      <c r="HI5" s="57">
        <f t="shared" si="11"/>
        <v>44244.304861111108</v>
      </c>
      <c r="HJ5" s="2">
        <f t="shared" si="12"/>
        <v>40.483333333279006</v>
      </c>
      <c r="HK5" s="1"/>
      <c r="HL5" s="1"/>
      <c r="HM5" s="1"/>
      <c r="HN5" s="57">
        <f t="shared" ref="HN5:HN9" si="51">AN5</f>
        <v>44245.31527777778</v>
      </c>
      <c r="HO5" s="2">
        <f t="shared" si="13"/>
        <v>64.733333333395422</v>
      </c>
      <c r="HP5" s="1"/>
      <c r="HQ5" s="1"/>
      <c r="HR5" s="1"/>
      <c r="HS5" s="57">
        <f t="shared" ref="HS5:HS9" si="52">AT5</f>
        <v>0</v>
      </c>
      <c r="HT5" s="2" t="str">
        <f t="shared" ref="HT5:HT9" si="53">AW5</f>
        <v/>
      </c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 t="str">
        <f t="shared" si="14"/>
        <v/>
      </c>
      <c r="IM5" s="2" t="e">
        <f t="shared" si="15"/>
        <v>#VALUE!</v>
      </c>
      <c r="IN5" s="2"/>
      <c r="IO5" s="2"/>
      <c r="IP5" s="2"/>
      <c r="IQ5" s="2"/>
      <c r="IR5" s="2"/>
      <c r="IS5" s="2"/>
      <c r="IT5" s="2"/>
      <c r="IU5" s="2"/>
      <c r="IV5" s="72"/>
    </row>
    <row r="6" spans="1:256" ht="15.75" thickBot="1" x14ac:dyDescent="0.3">
      <c r="A6" s="1">
        <v>5</v>
      </c>
      <c r="B6" s="3"/>
      <c r="C6" s="1" t="s">
        <v>159</v>
      </c>
      <c r="D6" s="46"/>
      <c r="E6" s="1">
        <v>175</v>
      </c>
      <c r="F6" s="32">
        <v>84</v>
      </c>
      <c r="G6" s="2">
        <f>IF(C6 = "M", 65.76+(1.452*(E6-152)), 62.34+(1.247*(E6-152)))</f>
        <v>99.156000000000006</v>
      </c>
      <c r="H6" s="34">
        <v>72.13</v>
      </c>
      <c r="I6" s="63">
        <f>AA6*EXP(DATA!$B$4*Y6)</f>
        <v>63.93807628730044</v>
      </c>
      <c r="J6" s="63"/>
      <c r="K6" s="34"/>
      <c r="L6" s="15">
        <v>44326.633333333331</v>
      </c>
      <c r="M6" s="47">
        <v>44326.619444444441</v>
      </c>
      <c r="N6" s="3">
        <v>11.67</v>
      </c>
      <c r="O6" s="48">
        <v>44334.5</v>
      </c>
      <c r="P6" s="1">
        <v>200</v>
      </c>
      <c r="Q6" s="1">
        <v>50153.5</v>
      </c>
      <c r="R6" s="1"/>
      <c r="S6" s="2">
        <f t="shared" ref="S6:S15" si="54">N6/P6</f>
        <v>5.8349999999999999E-2</v>
      </c>
      <c r="T6" s="13">
        <f>Q6*EXP((O6-M6)*24*DATA!$B$4)</f>
        <v>185281.99096953549</v>
      </c>
      <c r="U6" s="20">
        <f t="shared" ref="U6:U15" si="55">T6/S6</f>
        <v>3175355.4579183459</v>
      </c>
      <c r="V6" s="16">
        <v>44326.715277777781</v>
      </c>
      <c r="W6" s="1">
        <v>250</v>
      </c>
      <c r="X6" s="1">
        <v>250663.21</v>
      </c>
      <c r="Y6" s="2">
        <f t="shared" si="16"/>
        <v>1.966666666790843</v>
      </c>
      <c r="Z6" s="19">
        <f t="shared" si="0"/>
        <v>62.665802499999998</v>
      </c>
      <c r="AA6" s="17">
        <f>IF(Z6 = "", "", Z6*EXP(Y6*DATA!$B$4)*EXP(-DATA!$B$5*'Inputs-new'!Y6))</f>
        <v>63.07513566189207</v>
      </c>
      <c r="AB6" s="16">
        <v>44327.320833333331</v>
      </c>
      <c r="AC6" s="1">
        <v>112.4</v>
      </c>
      <c r="AD6" s="1">
        <v>265975.74</v>
      </c>
      <c r="AE6" s="2">
        <f t="shared" ref="AE6:AE12" si="56">IF(AB6="","",(AB6-$L6)*24)</f>
        <v>16.5</v>
      </c>
      <c r="AF6" s="19">
        <f t="shared" si="17"/>
        <v>29.895673175999999</v>
      </c>
      <c r="AG6" s="17">
        <f>IF(AF6 = "", "", AF6*EXP(AE6*DATA!$B$4)*EXP(-DATA!$B$5*'Inputs-new'!AE6))</f>
        <v>31.574124576955267</v>
      </c>
      <c r="AH6" s="16">
        <v>44328.327777777777</v>
      </c>
      <c r="AI6" s="1">
        <v>38.200000000000003</v>
      </c>
      <c r="AJ6" s="1">
        <v>305202.43</v>
      </c>
      <c r="AK6" s="2">
        <f t="shared" si="18"/>
        <v>40.666666666686069</v>
      </c>
      <c r="AL6" s="19">
        <f t="shared" si="19"/>
        <v>11.658732826000001</v>
      </c>
      <c r="AM6" s="17">
        <f>IF(AL6 = "", "", AL6*EXP(AK6*DATA!$B$4)*EXP(-DATA!$B$5*'Inputs-new'!AK6))</f>
        <v>13.338902909559136</v>
      </c>
      <c r="AN6" s="15">
        <v>44329.328472222223</v>
      </c>
      <c r="AO6" s="1">
        <v>12.2</v>
      </c>
      <c r="AP6" s="1">
        <v>266048</v>
      </c>
      <c r="AQ6" s="2">
        <f t="shared" si="39"/>
        <v>64.683333333407063</v>
      </c>
      <c r="AR6" s="19">
        <f t="shared" si="20"/>
        <v>3.2457855999999996</v>
      </c>
      <c r="AS6" s="17">
        <f>IF(AR6 = "", "", AR6*EXP(AQ6*DATA!$B$4)*EXP(-DATA!$B$5*'Inputs-new'!AQ6))</f>
        <v>4.0208577367753602</v>
      </c>
      <c r="AT6" s="16">
        <v>44330.321527777778</v>
      </c>
      <c r="AU6" s="58">
        <v>3.23</v>
      </c>
      <c r="AV6" s="1">
        <v>276910</v>
      </c>
      <c r="AW6" s="2">
        <f t="shared" si="40"/>
        <v>88.516666666720994</v>
      </c>
      <c r="AX6" s="19">
        <f t="shared" si="21"/>
        <v>0.89441930000000003</v>
      </c>
      <c r="AY6" s="17">
        <f>IF(AX6 = "", "", AX6*EXP(AW6*DATA!$B$4)*EXP(-DATA!$B$5*'Inputs-new'!AW6))</f>
        <v>1.1989651740293488</v>
      </c>
      <c r="AZ6" s="16">
        <v>44326.668055555558</v>
      </c>
      <c r="BA6" s="16">
        <v>44334.5</v>
      </c>
      <c r="BB6" s="1">
        <v>2668</v>
      </c>
      <c r="BC6" s="63">
        <f t="shared" si="45"/>
        <v>0.8333333334303461</v>
      </c>
      <c r="BD6" s="12">
        <f>IF(BB6 = "", "", BB6*EXP(DATA!$B$4*(BA6-AZ6)*24))</f>
        <v>9777.2557191467022</v>
      </c>
      <c r="BE6" s="12">
        <f>IF(BD6 = "", "", BD6*EXP(BC6*DATA!$B$4)*EXP(-BC6*DATA!$B$5))</f>
        <v>9804.2664252634841</v>
      </c>
      <c r="BF6" s="14">
        <f>BD6*$S$6/$T$6</f>
        <v>3.0791058981334755E-3</v>
      </c>
      <c r="BG6" s="14">
        <f>BE6*$S$6/$T$6</f>
        <v>3.0876122548153472E-3</v>
      </c>
      <c r="BH6" s="16">
        <v>44327.315972222219</v>
      </c>
      <c r="BI6" s="16">
        <v>44334.5</v>
      </c>
      <c r="BJ6" s="1">
        <v>1537.5</v>
      </c>
      <c r="BK6" s="12">
        <f t="shared" si="46"/>
        <v>16.383333333302289</v>
      </c>
      <c r="BL6" s="12">
        <f>IF(BJ6 = "", "", BJ6*EXP(DATA!$B$4*(BI6-BH6)*24))</f>
        <v>5060.4067187618239</v>
      </c>
      <c r="BM6" s="12">
        <f>IF(BL6 = "", "", BL6*EXP(BK6*DATA!$B$4)*EXP(-BK6*DATA!$B$5))</f>
        <v>5342.4524628085883</v>
      </c>
      <c r="BN6" s="14">
        <f>BL6*$S$6/$T$6</f>
        <v>1.5936504702623914E-3</v>
      </c>
      <c r="BO6" s="14">
        <f>BM6*($S$6/$T$6)</f>
        <v>1.682473831232399E-3</v>
      </c>
      <c r="BP6" s="16">
        <v>44328.371527777781</v>
      </c>
      <c r="BQ6" s="16">
        <v>44334.5</v>
      </c>
      <c r="BR6" s="1">
        <v>575.75</v>
      </c>
      <c r="BS6" s="12">
        <f t="shared" ref="BS6:BS12" si="57">IF(BP6 = "", "", 24*(BP6-$L6))</f>
        <v>41.716666666790843</v>
      </c>
      <c r="BT6" s="12">
        <f>IF(BR6 = "", "", BR6*EXP(DATA!$B$4*(BQ6-BP6)*24))</f>
        <v>1590.6937335449527</v>
      </c>
      <c r="BU6" s="12">
        <f>IF(BT6 = "", "", BT6*EXP(BS6*DATA!$B$4)*EXP(-BS6*DATA!$B$5))</f>
        <v>1826.2699613618342</v>
      </c>
      <c r="BV6" s="14">
        <f>BT6*$S$6/$T$6</f>
        <v>5.0094981636725384E-4</v>
      </c>
      <c r="BW6" s="2">
        <f>BU6*$S$6/$T$6</f>
        <v>5.7513874763459518E-4</v>
      </c>
      <c r="BX6" s="16">
        <v>44329.317361111112</v>
      </c>
      <c r="BY6" s="16">
        <v>44334.5</v>
      </c>
      <c r="BZ6" s="1">
        <v>231.5</v>
      </c>
      <c r="CA6" s="12">
        <f t="shared" si="22"/>
        <v>64.416666666744277</v>
      </c>
      <c r="CB6" s="12">
        <f>IF(BZ6 = "", "", BZ6*EXP(DATA!$B$4*(BY6-BX6)*24))</f>
        <v>546.74872705301823</v>
      </c>
      <c r="CC6" s="12">
        <f>IF(CB6 = "", "", CB6*EXP(CA6*DATA!$B$4)*EXP(-CA6*DATA!$B$5))</f>
        <v>676.71103292470355</v>
      </c>
      <c r="CD6" s="14">
        <f>CB6*$S$6/$T$6</f>
        <v>1.7218504646136464E-4</v>
      </c>
      <c r="CE6" s="60">
        <f>CC6*($S$6/$T$6)</f>
        <v>2.1311347403239449E-4</v>
      </c>
      <c r="CF6" s="16">
        <v>44330.363194444442</v>
      </c>
      <c r="CG6" s="16">
        <v>44334.5</v>
      </c>
      <c r="CH6" s="1">
        <v>77.5</v>
      </c>
      <c r="CI6" s="12">
        <f t="shared" si="23"/>
        <v>89.516666666662786</v>
      </c>
      <c r="CJ6" s="12">
        <f>IF(CH6 = "", "", CH6*EXP(DATA!$B$4*(CG6-CF6)*24))</f>
        <v>153.89374731766142</v>
      </c>
      <c r="CK6" s="12">
        <f>IF(CJ6 = "", "", CJ6*EXP(CI6*DATA!$B$4)*EXP(-CI6*DATA!$B$5))</f>
        <v>206.97797697941564</v>
      </c>
      <c r="CL6" s="61">
        <f>CJ6*$S$6/$T$6</f>
        <v>4.8465045679814658E-5</v>
      </c>
      <c r="CM6" s="62">
        <f>CK6*($S$6/$T$6)</f>
        <v>6.5182616473150157E-5</v>
      </c>
      <c r="CN6" s="40">
        <f t="shared" si="24"/>
        <v>63.07513566189207</v>
      </c>
      <c r="CO6" s="37">
        <f t="shared" si="25"/>
        <v>31.574124576955267</v>
      </c>
      <c r="CP6" s="37">
        <f t="shared" si="26"/>
        <v>13.338902909559136</v>
      </c>
      <c r="CQ6" s="37">
        <f t="shared" si="27"/>
        <v>4.0208577367753602</v>
      </c>
      <c r="CR6" s="37">
        <f t="shared" si="28"/>
        <v>1.1989651740293488</v>
      </c>
      <c r="CS6" s="37">
        <f t="shared" si="29"/>
        <v>1.966666666790843</v>
      </c>
      <c r="CT6" s="37">
        <f t="shared" si="30"/>
        <v>16.5</v>
      </c>
      <c r="CU6" s="37">
        <f t="shared" si="31"/>
        <v>40.666666666686069</v>
      </c>
      <c r="CV6" s="37">
        <f t="shared" si="32"/>
        <v>64.683333333407063</v>
      </c>
      <c r="CW6" s="37">
        <f t="shared" si="33"/>
        <v>88.516666666720994</v>
      </c>
      <c r="CX6" s="64">
        <f t="array" ref="CX6:CY6">LOGEST(CN6:CR6,CS6:CW6,TRUE,TRUE)</f>
        <v>0.95581407437722588</v>
      </c>
      <c r="CY6" s="64">
        <v>71.608134263295582</v>
      </c>
      <c r="CZ6" s="2">
        <v>0</v>
      </c>
      <c r="DA6" s="2">
        <v>2</v>
      </c>
      <c r="DB6" s="2">
        <v>4</v>
      </c>
      <c r="DC6" s="2">
        <v>10</v>
      </c>
      <c r="DD6" s="2">
        <v>18</v>
      </c>
      <c r="DE6" s="2">
        <v>24</v>
      </c>
      <c r="DF6" s="2">
        <v>26</v>
      </c>
      <c r="DG6" s="2">
        <v>34</v>
      </c>
      <c r="DH6" s="2">
        <v>42</v>
      </c>
      <c r="DI6" s="2">
        <v>48</v>
      </c>
      <c r="DJ6" s="2">
        <v>50</v>
      </c>
      <c r="DK6" s="2">
        <v>58</v>
      </c>
      <c r="DL6" s="2">
        <v>66</v>
      </c>
      <c r="DM6" s="2">
        <v>74</v>
      </c>
      <c r="DN6" s="2">
        <f t="shared" ref="DN6:EA6" si="58">($CY$6*$CX$6^CZ6)/$I$6</f>
        <v>1.1199607248352355</v>
      </c>
      <c r="DO6" s="2">
        <f t="shared" si="58"/>
        <v>1.0231743291244826</v>
      </c>
      <c r="DP6" s="2">
        <f t="shared" si="58"/>
        <v>0.93475216100399305</v>
      </c>
      <c r="DQ6" s="2">
        <f t="shared" si="58"/>
        <v>0.71274963765950128</v>
      </c>
      <c r="DR6" s="2">
        <f t="shared" si="58"/>
        <v>0.49650585586764068</v>
      </c>
      <c r="DS6" s="2">
        <f t="shared" si="58"/>
        <v>0.37858630728960652</v>
      </c>
      <c r="DT6" s="2">
        <f t="shared" si="58"/>
        <v>0.34586908485897599</v>
      </c>
      <c r="DU6" s="2">
        <f t="shared" si="58"/>
        <v>0.24093456793604354</v>
      </c>
      <c r="DV6" s="2">
        <f t="shared" si="58"/>
        <v>0.16783652707843769</v>
      </c>
      <c r="DW6" s="2">
        <f t="shared" si="58"/>
        <v>0.12797555207863756</v>
      </c>
      <c r="DX6" s="2">
        <f t="shared" si="58"/>
        <v>0.11691597458621494</v>
      </c>
      <c r="DY6" s="2">
        <f t="shared" si="58"/>
        <v>8.1444399210287219E-2</v>
      </c>
      <c r="DZ6" s="2">
        <f t="shared" si="58"/>
        <v>5.6734677927465373E-2</v>
      </c>
      <c r="EA6" s="2">
        <f t="shared" si="58"/>
        <v>3.9521731521676685E-2</v>
      </c>
      <c r="EB6" s="64">
        <f t="array" ref="EB6:EC6">LOGEST(DN6:EA6, CZ6:DM6, TRUE, TRUE)</f>
        <v>0.95581407437722588</v>
      </c>
      <c r="EC6" s="64">
        <v>1.1199607248352357</v>
      </c>
      <c r="ED6" s="2">
        <f t="shared" si="2"/>
        <v>4.5191867713991883E-2</v>
      </c>
      <c r="EE6" s="2">
        <f t="shared" si="3"/>
        <v>15.337874171227041</v>
      </c>
      <c r="EF6" s="17">
        <f t="shared" si="4"/>
        <v>24.78235092922446</v>
      </c>
      <c r="EG6" s="2">
        <f t="shared" ref="EG6:EG15" si="59">BG6</f>
        <v>3.0876122548153472E-3</v>
      </c>
      <c r="EH6" s="2">
        <f t="shared" ref="EH6:EH12" si="60">BO6</f>
        <v>1.682473831232399E-3</v>
      </c>
      <c r="EI6" s="2">
        <f t="shared" ref="EI6:EI15" si="61">BW6</f>
        <v>5.7513874763459518E-4</v>
      </c>
      <c r="EJ6" s="2">
        <f t="shared" ref="EJ6:EJ12" si="62">CE6</f>
        <v>2.1311347403239449E-4</v>
      </c>
      <c r="EK6" s="2">
        <f t="shared" ref="EK6:EK15" si="63">CM6</f>
        <v>6.5182616473150157E-5</v>
      </c>
      <c r="EL6" s="12">
        <f t="shared" si="42"/>
        <v>0.8333333334303461</v>
      </c>
      <c r="EM6" s="12">
        <f t="shared" si="48"/>
        <v>16.383333333302289</v>
      </c>
      <c r="EN6" s="12">
        <f t="shared" si="49"/>
        <v>41.716666666790843</v>
      </c>
      <c r="EO6" s="12">
        <f t="shared" si="50"/>
        <v>64.416666666744277</v>
      </c>
      <c r="EP6" s="12">
        <f t="shared" si="43"/>
        <v>89.516666666662786</v>
      </c>
      <c r="EQ6" s="35">
        <f t="array" ref="EQ6:ER6">LOGEST(EG6:EK6, EL6:EP6, TRUE, TRUE)</f>
        <v>0.95745351255703859</v>
      </c>
      <c r="ER6" s="35">
        <v>3.3689911474738014E-3</v>
      </c>
      <c r="ES6" s="53">
        <v>0</v>
      </c>
      <c r="ET6" s="53">
        <v>2</v>
      </c>
      <c r="EU6" s="53">
        <v>4</v>
      </c>
      <c r="EV6" s="53">
        <v>10</v>
      </c>
      <c r="EW6" s="53">
        <v>18</v>
      </c>
      <c r="EX6" s="53">
        <v>24</v>
      </c>
      <c r="EY6" s="53">
        <v>26</v>
      </c>
      <c r="EZ6" s="53">
        <v>34</v>
      </c>
      <c r="FA6" s="53">
        <v>42</v>
      </c>
      <c r="FB6" s="53">
        <v>48</v>
      </c>
      <c r="FC6" s="53">
        <v>50</v>
      </c>
      <c r="FD6" s="53">
        <v>58</v>
      </c>
      <c r="FE6" s="53">
        <v>66</v>
      </c>
      <c r="FF6" s="53">
        <v>72</v>
      </c>
      <c r="FG6" s="53">
        <v>78</v>
      </c>
      <c r="FH6" s="53">
        <v>84</v>
      </c>
      <c r="FI6" s="53">
        <v>90</v>
      </c>
      <c r="FJ6" s="53">
        <v>96</v>
      </c>
      <c r="FK6" s="54">
        <f t="shared" ref="FK6:GB6" si="64">($ER6*$EQ$6^ES6)/$I6</f>
        <v>5.2691468731957451E-5</v>
      </c>
      <c r="FL6" s="54">
        <f t="shared" si="64"/>
        <v>4.8303177192504323E-5</v>
      </c>
      <c r="FM6" s="54">
        <f t="shared" si="64"/>
        <v>4.4280354733694916E-5</v>
      </c>
      <c r="FN6" s="54">
        <f t="shared" si="64"/>
        <v>3.4112792453237926E-5</v>
      </c>
      <c r="FO6" s="54">
        <f t="shared" si="64"/>
        <v>2.4091222909002902E-5</v>
      </c>
      <c r="FP6" s="54">
        <f t="shared" si="64"/>
        <v>1.8559446779096104E-5</v>
      </c>
      <c r="FQ6" s="54">
        <f t="shared" si="64"/>
        <v>1.7013764617683091E-5</v>
      </c>
      <c r="FR6" s="54">
        <f t="shared" si="64"/>
        <v>1.2015504051384234E-5</v>
      </c>
      <c r="FS6" s="54">
        <f t="shared" si="64"/>
        <v>8.4856197821603193E-6</v>
      </c>
      <c r="FT6" s="54">
        <f t="shared" si="64"/>
        <v>6.5371695463328273E-6</v>
      </c>
      <c r="FU6" s="54">
        <f t="shared" si="64"/>
        <v>5.9927359501073288E-6</v>
      </c>
      <c r="FV6" s="54">
        <f t="shared" si="64"/>
        <v>4.2322052000503215E-6</v>
      </c>
      <c r="FW6" s="54">
        <f t="shared" si="64"/>
        <v>2.9888787032260602E-6</v>
      </c>
      <c r="FX6" s="54">
        <f t="shared" si="64"/>
        <v>2.3025786375073534E-6</v>
      </c>
      <c r="FY6" s="54">
        <f t="shared" si="64"/>
        <v>1.7738653549850055E-6</v>
      </c>
      <c r="FZ6" s="54">
        <f t="shared" si="64"/>
        <v>1.3665541086676705E-6</v>
      </c>
      <c r="GA6" s="54">
        <f t="shared" si="64"/>
        <v>1.0527688173560822E-6</v>
      </c>
      <c r="GB6" s="54">
        <f t="shared" si="64"/>
        <v>8.1103424721168844E-7</v>
      </c>
      <c r="GC6" s="35">
        <f t="array" ref="GC6:GD6">LOGEST(FK6:GB6, ES6:FJ6, TRUE, TRUE)</f>
        <v>0.95745351255703859</v>
      </c>
      <c r="GD6" s="69">
        <v>5.2691468731957458E-5</v>
      </c>
      <c r="GE6" s="2" t="e">
        <f>-LN(#REF!/#REF!)/#REF!</f>
        <v>#REF!</v>
      </c>
      <c r="GF6" s="2" t="e">
        <f t="shared" ref="GF6:GF15" si="65">LN(2)/GE6</f>
        <v>#REF!</v>
      </c>
      <c r="GG6" s="2" t="e">
        <f>(GF6*DATA!$B$3)/(DATA!$B$3+#REF!)</f>
        <v>#REF!</v>
      </c>
      <c r="GH6" s="17" t="e">
        <f t="shared" ref="GH6:GH15" si="66">(GG6*GD6)/LN(2)</f>
        <v>#REF!</v>
      </c>
      <c r="GI6" s="96">
        <f>DATA!$B$6/DW6</f>
        <v>23.129417704571878</v>
      </c>
      <c r="GJ6" s="96"/>
      <c r="GK6" s="2">
        <f t="shared" si="6"/>
        <v>9.8017809321300389E-4</v>
      </c>
      <c r="GL6" s="2" t="e">
        <f>GK6*EF6 + GH6*DATA!$B$8</f>
        <v>#REF!</v>
      </c>
      <c r="GM6" s="96" t="e">
        <f>DATA!$B$7/GL6</f>
        <v>#REF!</v>
      </c>
      <c r="GN6" s="96"/>
      <c r="GO6" s="93">
        <f t="shared" ref="GO6:GO12" si="67">GI6</f>
        <v>23.129417704571878</v>
      </c>
      <c r="GP6" s="51">
        <f t="shared" ref="GP6:GP12" si="68">ROUNDDOWN(GO6*27.027,0)</f>
        <v>625</v>
      </c>
      <c r="GQ6" s="93" t="e">
        <f t="shared" si="36"/>
        <v>#REF!</v>
      </c>
      <c r="GR6" s="51" t="e">
        <f t="shared" si="37"/>
        <v>#REF!</v>
      </c>
      <c r="GS6" s="1"/>
      <c r="GT6" s="1"/>
      <c r="GU6" s="1"/>
      <c r="GV6" s="57"/>
      <c r="GW6" s="2">
        <f t="shared" si="7"/>
        <v>1.966666666790843</v>
      </c>
      <c r="GX6" s="1"/>
      <c r="GY6" s="2" t="str">
        <f t="shared" si="38"/>
        <v/>
      </c>
      <c r="GZ6" s="2" t="str">
        <f t="shared" si="8"/>
        <v/>
      </c>
      <c r="HA6" s="1"/>
      <c r="HB6" s="1"/>
      <c r="HC6" s="1"/>
      <c r="HD6" s="57">
        <f t="shared" si="9"/>
        <v>44327.320833333331</v>
      </c>
      <c r="HE6" s="2">
        <f t="shared" si="10"/>
        <v>16.5</v>
      </c>
      <c r="HF6" s="1"/>
      <c r="HG6" s="1"/>
      <c r="HH6" s="1"/>
      <c r="HI6" s="57">
        <f t="shared" si="11"/>
        <v>44328.327777777777</v>
      </c>
      <c r="HJ6" s="2">
        <f t="shared" si="12"/>
        <v>40.666666666686069</v>
      </c>
      <c r="HK6" s="1"/>
      <c r="HL6" s="1"/>
      <c r="HM6" s="1"/>
      <c r="HN6" s="57">
        <f t="shared" si="51"/>
        <v>44329.328472222223</v>
      </c>
      <c r="HO6" s="2">
        <f t="shared" si="13"/>
        <v>64.683333333407063</v>
      </c>
      <c r="HP6" s="1"/>
      <c r="HQ6" s="1"/>
      <c r="HR6" s="1"/>
      <c r="HS6" s="57">
        <f t="shared" si="52"/>
        <v>44330.321527777778</v>
      </c>
      <c r="HT6" s="2">
        <f t="shared" si="53"/>
        <v>88.516666666720994</v>
      </c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 t="str">
        <f t="shared" si="14"/>
        <v/>
      </c>
      <c r="IM6" s="2" t="e">
        <f t="shared" si="15"/>
        <v>#VALUE!</v>
      </c>
      <c r="IN6" s="2"/>
      <c r="IO6" s="2"/>
      <c r="IP6" s="2"/>
      <c r="IQ6" s="2"/>
      <c r="IR6" s="2"/>
      <c r="IS6" s="2"/>
      <c r="IT6" s="2"/>
      <c r="IU6" s="2"/>
      <c r="IV6" s="72"/>
    </row>
    <row r="7" spans="1:256" ht="15.75" thickBot="1" x14ac:dyDescent="0.3">
      <c r="A7" s="5">
        <v>6</v>
      </c>
      <c r="B7" s="68"/>
      <c r="C7" s="4" t="s">
        <v>160</v>
      </c>
      <c r="D7" s="59"/>
      <c r="E7" s="4">
        <v>150</v>
      </c>
      <c r="F7" s="33">
        <v>71.2</v>
      </c>
      <c r="G7" s="2">
        <f t="shared" ref="G7:G12" si="69">IF(C7 = "M", 65.76+(1.452*(E7-152)), 62.34+(1.247*(E7-152)))</f>
        <v>59.846000000000004</v>
      </c>
      <c r="H7" s="34">
        <v>71.2</v>
      </c>
      <c r="I7" s="63">
        <f>AA7*EXP(DATA!$B$4*Y7)</f>
        <v>70.084105832020782</v>
      </c>
      <c r="J7" s="63"/>
      <c r="K7" s="34"/>
      <c r="L7" s="15">
        <v>44326.619444444441</v>
      </c>
      <c r="M7" s="47">
        <v>44326.619444444441</v>
      </c>
      <c r="N7" s="3">
        <v>11.67</v>
      </c>
      <c r="O7" s="48">
        <v>44334.5</v>
      </c>
      <c r="P7" s="1">
        <v>200</v>
      </c>
      <c r="Q7" s="1">
        <v>50153.5</v>
      </c>
      <c r="R7" s="1"/>
      <c r="S7" s="2">
        <f t="shared" si="54"/>
        <v>5.8349999999999999E-2</v>
      </c>
      <c r="T7" s="13">
        <f>Q7*EXP((O7-M7)*24*DATA!$B$4)</f>
        <v>185281.99096953549</v>
      </c>
      <c r="U7" s="20">
        <f t="shared" si="55"/>
        <v>3175355.4579183459</v>
      </c>
      <c r="V7" s="18">
        <v>44326.679861111108</v>
      </c>
      <c r="W7" s="4">
        <v>304.7</v>
      </c>
      <c r="X7" s="4">
        <v>226626.83</v>
      </c>
      <c r="Y7" s="19">
        <f t="shared" si="16"/>
        <v>1.4500000000116415</v>
      </c>
      <c r="Z7" s="19">
        <f t="shared" si="0"/>
        <v>69.053195101</v>
      </c>
      <c r="AA7" s="17">
        <f>IF(Z7 = "", "", Z7*EXP(Y7*DATA!$B$4)*EXP(-DATA!$B$5*'Inputs-new'!Y7))</f>
        <v>69.385468502661155</v>
      </c>
      <c r="AB7" s="18">
        <v>44327.291666666664</v>
      </c>
      <c r="AC7" s="4">
        <v>123.6</v>
      </c>
      <c r="AD7" s="4">
        <v>225232.55</v>
      </c>
      <c r="AE7" s="19">
        <f t="shared" si="56"/>
        <v>16.133333333360497</v>
      </c>
      <c r="AF7" s="19">
        <f t="shared" si="17"/>
        <v>27.838743179999994</v>
      </c>
      <c r="AG7" s="17">
        <f>IF(AF7 = "", "", AF7*EXP(AE7*DATA!$B$4)*EXP(-DATA!$B$5*'Inputs-new'!AE7))</f>
        <v>29.366042855325009</v>
      </c>
      <c r="AH7" s="18">
        <v>44328.295138888891</v>
      </c>
      <c r="AI7" s="4">
        <v>28.6</v>
      </c>
      <c r="AJ7" s="4">
        <v>271844.94</v>
      </c>
      <c r="AK7" s="19">
        <f t="shared" si="18"/>
        <v>40.216666666790843</v>
      </c>
      <c r="AL7" s="19">
        <f t="shared" si="19"/>
        <v>7.7747652840000008</v>
      </c>
      <c r="AM7" s="17">
        <f>IF(AL7 = "", "", AL7*EXP(AK7*DATA!$B$4)*EXP(-DATA!$B$5*'Inputs-new'!AK7))</f>
        <v>8.8819650067216518</v>
      </c>
      <c r="AN7" s="15"/>
      <c r="AO7" s="4"/>
      <c r="AP7" s="4"/>
      <c r="AQ7" s="19" t="str">
        <f t="shared" si="39"/>
        <v/>
      </c>
      <c r="AR7" s="19" t="str">
        <f t="shared" si="20"/>
        <v/>
      </c>
      <c r="AS7" s="17" t="str">
        <f>IF(AR7 = "", "", AR7*EXP(AQ7*DATA!$B$4)*EXP(-DATA!$B$5*'Inputs-new'!AQ7))</f>
        <v/>
      </c>
      <c r="AT7" s="18"/>
      <c r="AU7" s="4"/>
      <c r="AV7" s="4"/>
      <c r="AW7" s="19" t="str">
        <f t="shared" si="40"/>
        <v/>
      </c>
      <c r="AX7" s="19" t="str">
        <f t="shared" si="21"/>
        <v/>
      </c>
      <c r="AY7" s="17" t="str">
        <f>IF(AX7 = "", "", AX7*EXP(AW7*DATA!$B$4)*EXP(-DATA!$B$5*'Inputs-new'!AW7))</f>
        <v/>
      </c>
      <c r="AZ7" s="16">
        <v>44326.628472222219</v>
      </c>
      <c r="BA7" s="16">
        <v>44334.479166666664</v>
      </c>
      <c r="BB7" s="1">
        <v>2831.75</v>
      </c>
      <c r="BC7" s="63">
        <f t="shared" si="45"/>
        <v>0.21666666667442769</v>
      </c>
      <c r="BD7" s="12">
        <f>IF(BB7 = "", "", BB7*EXP(DATA!$B$4*(BA7-AZ7)*24))</f>
        <v>10409.655857406857</v>
      </c>
      <c r="BE7" s="12">
        <f>IF(BD7 = "", "", BD7*EXP(BC7*DATA!$B$4)*EXP(-BC7*DATA!$B$5))</f>
        <v>10417.125249316286</v>
      </c>
      <c r="BF7" s="14">
        <f>BD7*$S$7/$T$7</f>
        <v>3.2782647471634781E-3</v>
      </c>
      <c r="BG7" s="14">
        <f>BE7*$S$7/$T$7</f>
        <v>3.2806170481919513E-3</v>
      </c>
      <c r="BH7" s="16">
        <v>44327.333333333336</v>
      </c>
      <c r="BI7" s="16">
        <v>44334.479166666664</v>
      </c>
      <c r="BJ7" s="1">
        <v>1888.75</v>
      </c>
      <c r="BK7" s="63">
        <f t="shared" si="46"/>
        <v>17.133333333476912</v>
      </c>
      <c r="BL7" s="12">
        <f>IF(BJ7 = "", "", BJ7*EXP(DATA!$B$4*(BI7-BH7)*24))</f>
        <v>6177.2351923226997</v>
      </c>
      <c r="BM7" s="12">
        <f>IF(BL7 = "", "", BL7*EXP(BK7*DATA!$B$4)*EXP(-BK7*DATA!$B$5))</f>
        <v>6537.7407835111171</v>
      </c>
      <c r="BN7" s="14">
        <f>BL7*$S$7/$T$7</f>
        <v>1.9453680931747666E-3</v>
      </c>
      <c r="BO7" s="14">
        <f>BM7*($S$7/$T$7)</f>
        <v>2.0589004507221486E-3</v>
      </c>
      <c r="BP7" s="16">
        <v>44328.333333333336</v>
      </c>
      <c r="BQ7" s="16">
        <v>44334.479166666664</v>
      </c>
      <c r="BR7" s="1">
        <v>592.5</v>
      </c>
      <c r="BS7" s="2">
        <f t="shared" si="57"/>
        <v>41.133333333476912</v>
      </c>
      <c r="BT7" s="12">
        <f>IF(BR7 = "", "", BR7*EXP(DATA!$B$4*(BQ7-BP7)*24))</f>
        <v>1641.6904391640369</v>
      </c>
      <c r="BU7" s="12">
        <f>IF(BT7 = "", "", BT7*EXP(BS7*DATA!$B$4)*EXP(-BS7*DATA!$B$5))</f>
        <v>1881.1827312069877</v>
      </c>
      <c r="BV7" s="14">
        <f>BT7*$S$7/$T$7</f>
        <v>5.1700997287411495E-4</v>
      </c>
      <c r="BW7" s="2">
        <f>BU7*$S$7/$T$7</f>
        <v>5.9243217212608579E-4</v>
      </c>
      <c r="BX7" s="16">
        <v>44329.336805555555</v>
      </c>
      <c r="BY7" s="16">
        <v>44334.479166666664</v>
      </c>
      <c r="BZ7" s="1">
        <v>186.5</v>
      </c>
      <c r="CA7" s="12">
        <f t="shared" si="22"/>
        <v>65.216666666732635</v>
      </c>
      <c r="CB7" s="12">
        <f>IF(BZ7 = "", "", BZ7*EXP(DATA!$B$4*(BY7-BX7)*24))</f>
        <v>437.5371634063946</v>
      </c>
      <c r="CC7" s="12">
        <f>IF(CB7 = "", "", CB7*EXP(CA7*DATA!$B$4)*EXP(-CA7*DATA!$B$5))</f>
        <v>542.97599350681003</v>
      </c>
      <c r="CD7" s="14">
        <f>CB7*$S$7/$T$7</f>
        <v>1.377915541125682E-4</v>
      </c>
      <c r="CE7" s="60">
        <f>CC7*($S$7/$T$7)</f>
        <v>1.709969169444628E-4</v>
      </c>
      <c r="CF7" s="16"/>
      <c r="CG7" s="18"/>
      <c r="CH7" s="4"/>
      <c r="CI7" s="12" t="str">
        <f t="shared" si="23"/>
        <v/>
      </c>
      <c r="CJ7" s="12" t="str">
        <f>IF(CH7 = "", "", CH7*EXP(DATA!$B$4*(CG7-CF7)*24))</f>
        <v/>
      </c>
      <c r="CK7" s="12" t="str">
        <f>IF(CJ7 = "", "", CJ7*EXP(CI7*DATA!$B$4)*EXP(-CI7*DATA!$B$5))</f>
        <v/>
      </c>
      <c r="CL7" s="61" t="e">
        <f>CJ7*$S$4/$T$4</f>
        <v>#VALUE!</v>
      </c>
      <c r="CM7" s="62" t="e">
        <f>CK7*($S$4/$T$4)</f>
        <v>#VALUE!</v>
      </c>
      <c r="CN7" s="41">
        <f t="shared" si="24"/>
        <v>69.385468502661155</v>
      </c>
      <c r="CO7" s="42">
        <f t="shared" si="25"/>
        <v>29.366042855325009</v>
      </c>
      <c r="CP7" s="42">
        <f t="shared" si="26"/>
        <v>8.8819650067216518</v>
      </c>
      <c r="CQ7" s="42" t="str">
        <f t="shared" si="27"/>
        <v/>
      </c>
      <c r="CR7" s="42" t="str">
        <f t="shared" si="28"/>
        <v/>
      </c>
      <c r="CS7" s="42">
        <f t="shared" si="29"/>
        <v>1.4500000000116415</v>
      </c>
      <c r="CT7" s="42">
        <f t="shared" si="30"/>
        <v>16.133333333360497</v>
      </c>
      <c r="CU7" s="42">
        <f t="shared" si="31"/>
        <v>40.216666666790843</v>
      </c>
      <c r="CV7" s="42" t="str">
        <f t="shared" si="32"/>
        <v/>
      </c>
      <c r="CW7" s="42" t="str">
        <f t="shared" si="33"/>
        <v/>
      </c>
      <c r="CX7" s="65" t="e">
        <f t="array" ref="CX7:CY7">LOGEST(CN7:CQ7,CS7:CV7,TRUE,TRUE)</f>
        <v>#VALUE!</v>
      </c>
      <c r="CY7" s="65" t="e">
        <v>#VALUE!</v>
      </c>
      <c r="CZ7" s="2">
        <v>0</v>
      </c>
      <c r="DA7" s="2">
        <v>2</v>
      </c>
      <c r="DB7" s="2">
        <v>4</v>
      </c>
      <c r="DC7" s="2">
        <v>10</v>
      </c>
      <c r="DD7" s="2">
        <v>18</v>
      </c>
      <c r="DE7" s="2">
        <v>24</v>
      </c>
      <c r="DF7" s="2">
        <v>26</v>
      </c>
      <c r="DG7" s="2">
        <v>34</v>
      </c>
      <c r="DH7" s="2">
        <v>42</v>
      </c>
      <c r="DI7" s="2">
        <v>48</v>
      </c>
      <c r="DJ7" s="2">
        <v>50</v>
      </c>
      <c r="DK7" s="2">
        <v>58</v>
      </c>
      <c r="DL7" s="2">
        <v>66</v>
      </c>
      <c r="DM7" s="2">
        <v>74</v>
      </c>
      <c r="DN7" s="2" t="e">
        <f t="shared" ref="DN7:EA7" si="70">($CY$7*$CX$7^CZ7)/$I$7</f>
        <v>#VALUE!</v>
      </c>
      <c r="DO7" s="2" t="e">
        <f t="shared" si="70"/>
        <v>#VALUE!</v>
      </c>
      <c r="DP7" s="2" t="e">
        <f t="shared" si="70"/>
        <v>#VALUE!</v>
      </c>
      <c r="DQ7" s="2" t="e">
        <f t="shared" si="70"/>
        <v>#VALUE!</v>
      </c>
      <c r="DR7" s="2" t="e">
        <f t="shared" si="70"/>
        <v>#VALUE!</v>
      </c>
      <c r="DS7" s="2" t="e">
        <f t="shared" si="70"/>
        <v>#VALUE!</v>
      </c>
      <c r="DT7" s="2" t="e">
        <f t="shared" si="70"/>
        <v>#VALUE!</v>
      </c>
      <c r="DU7" s="2" t="e">
        <f t="shared" si="70"/>
        <v>#VALUE!</v>
      </c>
      <c r="DV7" s="2" t="e">
        <f t="shared" si="70"/>
        <v>#VALUE!</v>
      </c>
      <c r="DW7" s="2" t="e">
        <f t="shared" si="70"/>
        <v>#VALUE!</v>
      </c>
      <c r="DX7" s="2" t="e">
        <f t="shared" si="70"/>
        <v>#VALUE!</v>
      </c>
      <c r="DY7" s="2" t="e">
        <f t="shared" si="70"/>
        <v>#VALUE!</v>
      </c>
      <c r="DZ7" s="2" t="e">
        <f t="shared" si="70"/>
        <v>#VALUE!</v>
      </c>
      <c r="EA7" s="2" t="e">
        <f t="shared" si="70"/>
        <v>#VALUE!</v>
      </c>
      <c r="EB7" s="65" t="e">
        <f t="array" ref="EB7:EC7">LOGEST(DN7:EA7,CZ7:DM7,TRUE,TRUE)</f>
        <v>#VALUE!</v>
      </c>
      <c r="EC7" s="65" t="e">
        <v>#VALUE!</v>
      </c>
      <c r="ED7" s="2" t="e">
        <f t="shared" si="2"/>
        <v>#VALUE!</v>
      </c>
      <c r="EE7" s="2" t="e">
        <f t="shared" si="3"/>
        <v>#VALUE!</v>
      </c>
      <c r="EF7" s="17" t="e">
        <f t="shared" si="4"/>
        <v>#VALUE!</v>
      </c>
      <c r="EG7" s="2">
        <f t="shared" si="59"/>
        <v>3.2806170481919513E-3</v>
      </c>
      <c r="EH7" s="2">
        <f t="shared" si="60"/>
        <v>2.0589004507221486E-3</v>
      </c>
      <c r="EI7" s="2">
        <f t="shared" si="61"/>
        <v>5.9243217212608579E-4</v>
      </c>
      <c r="EJ7" s="2">
        <f t="shared" si="62"/>
        <v>1.709969169444628E-4</v>
      </c>
      <c r="EK7" s="2" t="e">
        <f t="shared" si="63"/>
        <v>#VALUE!</v>
      </c>
      <c r="EL7" s="12">
        <f t="shared" si="42"/>
        <v>0.21666666667442769</v>
      </c>
      <c r="EM7" s="12">
        <f t="shared" si="48"/>
        <v>17.133333333476912</v>
      </c>
      <c r="EN7" s="12">
        <f t="shared" si="49"/>
        <v>41.133333333476912</v>
      </c>
      <c r="EO7" s="12">
        <f t="shared" si="50"/>
        <v>65.216666666732635</v>
      </c>
      <c r="EP7" s="12" t="str">
        <f t="shared" si="43"/>
        <v/>
      </c>
      <c r="EQ7" s="66">
        <f t="array" ref="EQ7:ER7">LOGEST(EG7:EJ7, EL7:EO7, TRUE, TRUE)</f>
        <v>0.95451345696826162</v>
      </c>
      <c r="ER7" s="66">
        <v>3.8374645979551078E-3</v>
      </c>
      <c r="ES7" s="53">
        <v>0</v>
      </c>
      <c r="ET7" s="53">
        <v>2</v>
      </c>
      <c r="EU7" s="53">
        <v>4</v>
      </c>
      <c r="EV7" s="53">
        <v>10</v>
      </c>
      <c r="EW7" s="53">
        <v>18</v>
      </c>
      <c r="EX7" s="53">
        <v>24</v>
      </c>
      <c r="EY7" s="53">
        <v>26</v>
      </c>
      <c r="EZ7" s="53">
        <v>34</v>
      </c>
      <c r="FA7" s="53">
        <v>42</v>
      </c>
      <c r="FB7" s="53">
        <v>48</v>
      </c>
      <c r="FC7" s="53">
        <v>50</v>
      </c>
      <c r="FD7" s="53">
        <v>58</v>
      </c>
      <c r="FE7" s="53">
        <v>66</v>
      </c>
      <c r="FF7" s="53">
        <v>72</v>
      </c>
      <c r="FG7" s="53">
        <v>78</v>
      </c>
      <c r="FH7" s="53">
        <v>84</v>
      </c>
      <c r="FI7" s="53">
        <v>90</v>
      </c>
      <c r="FJ7" s="53">
        <v>96</v>
      </c>
      <c r="FK7" s="54">
        <f t="shared" ref="FK7:GA7" si="71">($ER7*$EQ$7^ES7)/$I7</f>
        <v>5.4755133883748651E-5</v>
      </c>
      <c r="FL7" s="54">
        <f t="shared" si="71"/>
        <v>4.9887180150096635E-5</v>
      </c>
      <c r="FM7" s="54">
        <f t="shared" si="71"/>
        <v>4.5452007269529343E-5</v>
      </c>
      <c r="FN7" s="54">
        <f t="shared" si="71"/>
        <v>3.4375213235630002E-5</v>
      </c>
      <c r="FO7" s="54">
        <f t="shared" si="71"/>
        <v>2.368655196464824E-5</v>
      </c>
      <c r="FP7" s="54">
        <f t="shared" si="71"/>
        <v>1.791406636396161E-5</v>
      </c>
      <c r="FQ7" s="54">
        <f t="shared" si="71"/>
        <v>1.6321433124739099E-5</v>
      </c>
      <c r="FR7" s="54">
        <f t="shared" si="71"/>
        <v>1.1246431293288776E-5</v>
      </c>
      <c r="FS7" s="54">
        <f t="shared" si="71"/>
        <v>7.7494553246645044E-6</v>
      </c>
      <c r="FT7" s="54">
        <f t="shared" si="71"/>
        <v>5.8608892158634294E-6</v>
      </c>
      <c r="FU7" s="54">
        <f t="shared" si="71"/>
        <v>5.3398323666288576E-6</v>
      </c>
      <c r="FV7" s="54">
        <f t="shared" si="71"/>
        <v>3.6794598470611331E-6</v>
      </c>
      <c r="FW7" s="54">
        <f t="shared" si="71"/>
        <v>2.5353651269547652E-6</v>
      </c>
      <c r="FX7" s="54">
        <f t="shared" si="71"/>
        <v>1.9174888438354482E-6</v>
      </c>
      <c r="FY7" s="54">
        <f t="shared" si="71"/>
        <v>1.4501909122058389E-6</v>
      </c>
      <c r="FZ7" s="54">
        <f t="shared" si="71"/>
        <v>1.0967749244568118E-6</v>
      </c>
      <c r="GA7" s="54">
        <f t="shared" si="71"/>
        <v>8.2948750043367E-7</v>
      </c>
      <c r="GB7" s="54">
        <f>($ER7*$EQ$7^FJ7)/$I7</f>
        <v>6.2733884412652925E-7</v>
      </c>
      <c r="GC7" s="66">
        <f t="array" ref="GC7:GD7">LOGEST(FK7:GB7, ES7:FJ7, TRUE, TRUE)</f>
        <v>0.95451345696826162</v>
      </c>
      <c r="GD7" s="71">
        <v>5.4755133883748706E-5</v>
      </c>
      <c r="GE7" s="2" t="e">
        <f>-LN(#REF!/#REF!)/#REF!</f>
        <v>#REF!</v>
      </c>
      <c r="GF7" s="2" t="e">
        <f t="shared" si="65"/>
        <v>#REF!</v>
      </c>
      <c r="GG7" s="2" t="e">
        <f>(GF7*DATA!$B$3)/(DATA!$B$3+#REF!)</f>
        <v>#REF!</v>
      </c>
      <c r="GH7" s="17" t="e">
        <f t="shared" si="66"/>
        <v>#REF!</v>
      </c>
      <c r="GI7" s="96" t="e">
        <f>DATA!$B$6/DW7</f>
        <v>#VALUE!</v>
      </c>
      <c r="GJ7" s="96"/>
      <c r="GK7" s="2">
        <f t="shared" si="6"/>
        <v>1.2287619762877554E-3</v>
      </c>
      <c r="GL7" s="2" t="e">
        <f>GK7*EF7 + GH7*DATA!$B$8</f>
        <v>#VALUE!</v>
      </c>
      <c r="GM7" s="96" t="e">
        <f>DATA!$B$7/GL7</f>
        <v>#VALUE!</v>
      </c>
      <c r="GN7" s="96"/>
      <c r="GO7" s="93" t="e">
        <f t="shared" si="67"/>
        <v>#VALUE!</v>
      </c>
      <c r="GP7" s="51" t="e">
        <f t="shared" si="68"/>
        <v>#VALUE!</v>
      </c>
      <c r="GQ7" s="93" t="e">
        <f t="shared" si="36"/>
        <v>#VALUE!</v>
      </c>
      <c r="GR7" s="51" t="e">
        <f t="shared" si="37"/>
        <v>#VALUE!</v>
      </c>
      <c r="GS7" s="1"/>
      <c r="GT7" s="1"/>
      <c r="GU7" s="1"/>
      <c r="GV7" s="57"/>
      <c r="GW7" s="2">
        <f t="shared" si="7"/>
        <v>1.4500000000116415</v>
      </c>
      <c r="GX7" s="1"/>
      <c r="GY7" s="2" t="str">
        <f t="shared" si="38"/>
        <v/>
      </c>
      <c r="GZ7" s="2" t="str">
        <f t="shared" si="8"/>
        <v/>
      </c>
      <c r="HA7" s="1"/>
      <c r="HB7" s="1"/>
      <c r="HC7" s="1"/>
      <c r="HD7" s="57">
        <f t="shared" si="9"/>
        <v>44327.291666666664</v>
      </c>
      <c r="HE7" s="2">
        <f t="shared" si="10"/>
        <v>16.133333333360497</v>
      </c>
      <c r="HF7" s="1"/>
      <c r="HG7" s="1"/>
      <c r="HH7" s="1"/>
      <c r="HI7" s="57">
        <f t="shared" si="11"/>
        <v>44328.295138888891</v>
      </c>
      <c r="HJ7" s="2">
        <f t="shared" si="12"/>
        <v>40.216666666790843</v>
      </c>
      <c r="HK7" s="1"/>
      <c r="HL7" s="1"/>
      <c r="HM7" s="1"/>
      <c r="HN7" s="57">
        <f t="shared" si="51"/>
        <v>0</v>
      </c>
      <c r="HO7" s="2" t="str">
        <f t="shared" si="13"/>
        <v/>
      </c>
      <c r="HP7" s="1"/>
      <c r="HQ7" s="1"/>
      <c r="HR7" s="1"/>
      <c r="HS7" s="57">
        <f t="shared" si="52"/>
        <v>0</v>
      </c>
      <c r="HT7" s="2" t="str">
        <f t="shared" si="53"/>
        <v/>
      </c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 t="str">
        <f t="shared" si="14"/>
        <v/>
      </c>
      <c r="IM7" s="2" t="e">
        <f t="shared" si="15"/>
        <v>#VALUE!</v>
      </c>
      <c r="IN7" s="2"/>
      <c r="IO7" s="2"/>
      <c r="IP7" s="2"/>
      <c r="IQ7" s="2"/>
      <c r="IR7" s="2"/>
      <c r="IS7" s="2"/>
      <c r="IT7" s="2"/>
      <c r="IU7" s="2"/>
      <c r="IV7" s="72"/>
    </row>
    <row r="8" spans="1:256" ht="15.75" thickBot="1" x14ac:dyDescent="0.3">
      <c r="A8" s="1">
        <v>7</v>
      </c>
      <c r="B8" s="3"/>
      <c r="C8" s="1" t="s">
        <v>159</v>
      </c>
      <c r="D8" s="46"/>
      <c r="E8" s="1">
        <v>175</v>
      </c>
      <c r="F8" s="32">
        <v>84</v>
      </c>
      <c r="G8" s="2">
        <f>IF(C8 = "M", 65.76+(1.452*(E8-152)), 62.34+(1.247*(E8-152)))</f>
        <v>99.156000000000006</v>
      </c>
      <c r="H8" s="34">
        <v>74.91</v>
      </c>
      <c r="I8" s="63">
        <f>AA8*EXP(DATA!$B$4*Y8)</f>
        <v>63.863495074289716</v>
      </c>
      <c r="J8" s="63">
        <f>AA8*EXP(DATA!$B$5*'Inputs-new'!Y8)</f>
        <v>63.533122082119327</v>
      </c>
      <c r="K8" s="34"/>
      <c r="L8" s="11">
        <v>44376.438194444447</v>
      </c>
      <c r="M8" s="48">
        <v>44376.438194444447</v>
      </c>
      <c r="N8" s="1">
        <v>7.77</v>
      </c>
      <c r="O8" s="48">
        <v>44376.438194444447</v>
      </c>
      <c r="P8" s="1">
        <v>200</v>
      </c>
      <c r="Q8" s="1">
        <v>78275.5</v>
      </c>
      <c r="R8" s="1"/>
      <c r="S8" s="2">
        <f t="shared" si="54"/>
        <v>3.8849999999999996E-2</v>
      </c>
      <c r="T8" s="13">
        <f>Q8*EXP((O8-M8)*24*DATA!$B$4)</f>
        <v>78275.5</v>
      </c>
      <c r="U8" s="20">
        <f t="shared" si="55"/>
        <v>2014813.3848133851</v>
      </c>
      <c r="V8" s="11">
        <v>44376.503472222219</v>
      </c>
      <c r="W8" s="1">
        <v>210.1</v>
      </c>
      <c r="X8" s="1">
        <v>299139.01</v>
      </c>
      <c r="Y8" s="19">
        <f>IF(V8="","",(V8-$L8)*24)</f>
        <v>1.5666666665347293</v>
      </c>
      <c r="Z8" s="19">
        <f>IF(W8 = "", "", W8*X8/1000000)</f>
        <v>62.849106001000003</v>
      </c>
      <c r="AA8" s="17">
        <f>IF(Z8 = "", "", Z8*EXP(Y8*DATA!$B$4)*EXP(-DATA!$B$5*'Inputs-new'!Y8))</f>
        <v>63.175922101394789</v>
      </c>
      <c r="AB8" s="18">
        <v>44377.29583333333</v>
      </c>
      <c r="AC8" s="4">
        <v>99.4</v>
      </c>
      <c r="AD8" s="4">
        <v>306135.40000000002</v>
      </c>
      <c r="AE8" s="19">
        <f t="shared" si="56"/>
        <v>20.583333333197515</v>
      </c>
      <c r="AF8" s="19">
        <f t="shared" si="17"/>
        <v>30.429858760000005</v>
      </c>
      <c r="AG8" s="17">
        <f>IF(AF8 = "", "", AF8*EXP(AE8*DATA!$B$4)*EXP(-DATA!$B$5*'Inputs-new'!AE8))</f>
        <v>32.575699971467891</v>
      </c>
      <c r="AH8" s="18">
        <v>44378.385416666664</v>
      </c>
      <c r="AI8" s="4">
        <v>44.8</v>
      </c>
      <c r="AJ8" s="4">
        <v>286565.13</v>
      </c>
      <c r="AK8" s="19">
        <f t="shared" si="18"/>
        <v>46.733333333220799</v>
      </c>
      <c r="AL8" s="19">
        <f t="shared" si="19"/>
        <v>12.838117823999999</v>
      </c>
      <c r="AM8" s="17">
        <f>IF(AL8 = "", "", AL8*EXP(AK8*DATA!$B$4)*EXP(-DATA!$B$5*'Inputs-new'!AK8))</f>
        <v>14.98623393302196</v>
      </c>
      <c r="AN8" s="15"/>
      <c r="AO8" s="4"/>
      <c r="AP8" s="4"/>
      <c r="AQ8" s="19" t="str">
        <f t="shared" si="39"/>
        <v/>
      </c>
      <c r="AR8" s="19" t="str">
        <f t="shared" si="20"/>
        <v/>
      </c>
      <c r="AS8" s="17" t="str">
        <f>IF(AR8 = "", "", AR8*EXP(AQ8*DATA!$B$4)*EXP(-DATA!$B$5*'Inputs-new'!AQ8))</f>
        <v/>
      </c>
      <c r="AT8" s="18"/>
      <c r="AU8" s="4"/>
      <c r="AV8" s="4"/>
      <c r="AW8" s="19" t="str">
        <f t="shared" si="40"/>
        <v/>
      </c>
      <c r="AX8" s="19" t="str">
        <f t="shared" si="21"/>
        <v/>
      </c>
      <c r="AY8" s="17" t="str">
        <f>IF(AX8 = "", "", AX8*EXP(AW8*DATA!$B$4)*EXP(-DATA!$B$5*'Inputs-new'!AW8))</f>
        <v/>
      </c>
      <c r="AZ8" s="16">
        <v>44376.5</v>
      </c>
      <c r="BA8" s="16">
        <v>44378.625</v>
      </c>
      <c r="BB8" s="1">
        <v>7020.25</v>
      </c>
      <c r="BC8" s="63">
        <f t="shared" si="45"/>
        <v>1.4833333332790062</v>
      </c>
      <c r="BD8" s="12">
        <f>IF(BB8 = "", "", BB8*EXP(DATA!$B$4*(BA8-AZ8)*24))</f>
        <v>9985.9218308249838</v>
      </c>
      <c r="BE8" s="12">
        <f>IF(BD8 = "", "", BD8*EXP(BC8*DATA!$B$4)*EXP(-BC8*DATA!$B$5))</f>
        <v>10035.079886538244</v>
      </c>
      <c r="BF8" s="14">
        <f>BD8*$S$8/$T$8</f>
        <v>4.956251485171613E-3</v>
      </c>
      <c r="BG8" s="14">
        <f>BE8*$S$8/$T$8</f>
        <v>4.9806498021987815E-3</v>
      </c>
      <c r="BH8" s="16">
        <v>44377.350694444445</v>
      </c>
      <c r="BI8" s="16">
        <v>44378.625</v>
      </c>
      <c r="BJ8" s="1">
        <v>3177</v>
      </c>
      <c r="BK8" s="63">
        <f t="shared" si="46"/>
        <v>21.899999999965075</v>
      </c>
      <c r="BL8" s="12">
        <f>IF(BJ8 = "", "", BJ8*EXP(DATA!$B$4*(BI8-BH8)*24))</f>
        <v>3924.5381353796056</v>
      </c>
      <c r="BM8" s="12">
        <f>IF(BL8 = "", "", BL8*EXP(BK8*DATA!$B$4)*EXP(-BK8*DATA!$B$5))</f>
        <v>4219.6401823338647</v>
      </c>
      <c r="BN8" s="14">
        <f>BL8*$S$8/$T$8</f>
        <v>1.9478420011305919E-3</v>
      </c>
      <c r="BO8" s="14">
        <f>BM8*($S$8/$T$8)</f>
        <v>2.094308194564974E-3</v>
      </c>
      <c r="BP8" s="16">
        <v>44378.436111111114</v>
      </c>
      <c r="BQ8" s="16">
        <v>44378.625</v>
      </c>
      <c r="BR8" s="1">
        <v>1263</v>
      </c>
      <c r="BS8" s="2">
        <f t="shared" si="57"/>
        <v>47.950000000011642</v>
      </c>
      <c r="BT8" s="12">
        <f>IF(BR8 = "", "", BR8*EXP(DATA!$B$4*(BQ8-BP8)*24))</f>
        <v>1303.1863235590615</v>
      </c>
      <c r="BU8" s="12">
        <f>IF(BT8 = "", "", BT8*EXP(BS8*DATA!$B$4)*EXP(-BS8*DATA!$B$5))</f>
        <v>1527.3794189745786</v>
      </c>
      <c r="BV8" s="14">
        <f>BT8*$S$8/$T$8</f>
        <v>6.4680249465374909E-4</v>
      </c>
      <c r="BW8" s="2">
        <f>BU8*$S$8/$T$8</f>
        <v>7.5807488201496472E-4</v>
      </c>
      <c r="BX8" s="16"/>
      <c r="BY8" s="16"/>
      <c r="BZ8" s="1"/>
      <c r="CA8" s="12" t="str">
        <f t="shared" si="22"/>
        <v/>
      </c>
      <c r="CB8" s="12" t="str">
        <f>IF(BZ8 = "", "", BZ8*EXP(DATA!$B$4*(BY8-BX8)*24))</f>
        <v/>
      </c>
      <c r="CC8" s="12" t="str">
        <f>IF(CB8 = "", "", CB8*EXP(CA8*DATA!$B$4)*EXP(-CA8*DATA!$B$5))</f>
        <v/>
      </c>
      <c r="CD8" s="14" t="e">
        <f>CB8*$S$8/$T$8</f>
        <v>#VALUE!</v>
      </c>
      <c r="CE8" s="60" t="e">
        <f>CC8*($S$8/$T$8)</f>
        <v>#VALUE!</v>
      </c>
      <c r="CF8" s="16"/>
      <c r="CG8" s="18"/>
      <c r="CH8" s="4"/>
      <c r="CI8" s="12" t="str">
        <f t="shared" si="23"/>
        <v/>
      </c>
      <c r="CJ8" s="12" t="str">
        <f>IF(CH8 = "", "", CH8*EXP(DATA!$B$4*(CG8-CF8)*24))</f>
        <v/>
      </c>
      <c r="CK8" s="12" t="str">
        <f>IF(CJ8 = "", "", CJ8*EXP(CI8*DATA!$B$4)*EXP(-CI8*DATA!$B$5))</f>
        <v/>
      </c>
      <c r="CL8" s="61" t="e">
        <f>CJ8*$S$4/$T$4</f>
        <v>#VALUE!</v>
      </c>
      <c r="CM8" s="62" t="e">
        <f>CK8*($S$4/$T$4)</f>
        <v>#VALUE!</v>
      </c>
      <c r="CN8" s="41">
        <f t="shared" si="24"/>
        <v>63.175922101394789</v>
      </c>
      <c r="CO8" s="42">
        <f t="shared" si="25"/>
        <v>32.575699971467891</v>
      </c>
      <c r="CP8" s="42">
        <f t="shared" si="26"/>
        <v>14.98623393302196</v>
      </c>
      <c r="CQ8" s="42" t="str">
        <f t="shared" si="27"/>
        <v/>
      </c>
      <c r="CR8" s="42" t="str">
        <f t="shared" si="28"/>
        <v/>
      </c>
      <c r="CS8" s="42">
        <f t="shared" si="29"/>
        <v>1.5666666665347293</v>
      </c>
      <c r="CT8" s="42">
        <f t="shared" si="30"/>
        <v>20.583333333197515</v>
      </c>
      <c r="CU8" s="42">
        <f t="shared" si="31"/>
        <v>46.733333333220799</v>
      </c>
      <c r="CV8" s="42" t="str">
        <f t="shared" si="32"/>
        <v/>
      </c>
      <c r="CW8" s="42" t="str">
        <f t="shared" si="33"/>
        <v/>
      </c>
      <c r="CX8" s="65">
        <f t="array" ref="CX8:CY8">LOGEST(CN8:CP8,CS8:CU8,TRUE,TRUE)</f>
        <v>0.9687735841277455</v>
      </c>
      <c r="CY8" s="65">
        <v>64.972691074159144</v>
      </c>
      <c r="CZ8" s="2">
        <v>0</v>
      </c>
      <c r="DA8" s="2">
        <v>2</v>
      </c>
      <c r="DB8" s="2">
        <v>4</v>
      </c>
      <c r="DC8" s="2">
        <v>10</v>
      </c>
      <c r="DD8" s="2">
        <v>18</v>
      </c>
      <c r="DE8" s="2">
        <v>24</v>
      </c>
      <c r="DF8" s="2">
        <v>26</v>
      </c>
      <c r="DG8" s="2">
        <v>34</v>
      </c>
      <c r="DH8" s="2">
        <v>42</v>
      </c>
      <c r="DI8" s="2">
        <v>48</v>
      </c>
      <c r="DJ8" s="2">
        <v>50</v>
      </c>
      <c r="DK8" s="2">
        <v>58</v>
      </c>
      <c r="DL8" s="2">
        <v>66</v>
      </c>
      <c r="DM8" s="2">
        <v>74</v>
      </c>
      <c r="DN8" s="2">
        <f>($CY$8*$CX$8^CZ8)/$J$8</f>
        <v>1.0226585589510162</v>
      </c>
      <c r="DO8" s="2">
        <f t="shared" ref="DO8:EA8" si="72">($CY$8*$CX$8^DA8)/$J$8</f>
        <v>0.9597878191976752</v>
      </c>
      <c r="DP8" s="2">
        <f t="shared" si="72"/>
        <v>0.90078223060601492</v>
      </c>
      <c r="DQ8" s="2">
        <f t="shared" si="72"/>
        <v>0.74465230796672699</v>
      </c>
      <c r="DR8" s="2">
        <f t="shared" si="72"/>
        <v>0.57773921346877266</v>
      </c>
      <c r="DS8" s="2">
        <f t="shared" si="72"/>
        <v>0.47760138254833195</v>
      </c>
      <c r="DT8" s="2">
        <f t="shared" si="72"/>
        <v>0.44823952764063707</v>
      </c>
      <c r="DU8" s="2">
        <f t="shared" si="72"/>
        <v>0.34776707112050875</v>
      </c>
      <c r="DV8" s="2">
        <f t="shared" si="72"/>
        <v>0.26981541853822999</v>
      </c>
      <c r="DW8" s="2">
        <f t="shared" si="72"/>
        <v>0.22304910922180421</v>
      </c>
      <c r="DX8" s="2">
        <f t="shared" si="72"/>
        <v>0.20933655347643126</v>
      </c>
      <c r="DY8" s="2">
        <f t="shared" si="72"/>
        <v>0.1624139675145424</v>
      </c>
      <c r="DZ8" s="2">
        <f t="shared" si="72"/>
        <v>0.12600903380586473</v>
      </c>
      <c r="EA8" s="2">
        <f t="shared" si="72"/>
        <v>9.7764230771998306E-2</v>
      </c>
      <c r="EB8" s="65">
        <f t="array" ref="EB8:EC8">LOGEST(DN8:EA8,CZ8:DM8,TRUE,TRUE)</f>
        <v>0.9687735841277455</v>
      </c>
      <c r="EC8" s="65">
        <v>1.0226585589510162</v>
      </c>
      <c r="ED8" s="2">
        <f t="shared" si="2"/>
        <v>3.1724353704852847E-2</v>
      </c>
      <c r="EE8" s="2">
        <f t="shared" si="3"/>
        <v>21.849055996810272</v>
      </c>
      <c r="EF8" s="17">
        <f t="shared" si="4"/>
        <v>32.235757061130641</v>
      </c>
      <c r="EG8" s="2">
        <f t="shared" si="59"/>
        <v>4.9806498021987815E-3</v>
      </c>
      <c r="EH8" s="2">
        <f t="shared" si="60"/>
        <v>2.094308194564974E-3</v>
      </c>
      <c r="EI8" s="2">
        <f t="shared" si="61"/>
        <v>7.5807488201496472E-4</v>
      </c>
      <c r="EJ8" s="2" t="e">
        <f t="shared" si="62"/>
        <v>#VALUE!</v>
      </c>
      <c r="EK8" s="2" t="e">
        <f t="shared" si="63"/>
        <v>#VALUE!</v>
      </c>
      <c r="EL8" s="12">
        <f t="shared" si="42"/>
        <v>1.4833333332790062</v>
      </c>
      <c r="EM8" s="12">
        <f t="shared" si="48"/>
        <v>21.899999999965075</v>
      </c>
      <c r="EN8" s="12">
        <f t="shared" si="49"/>
        <v>47.950000000011642</v>
      </c>
      <c r="EO8" s="12" t="str">
        <f t="shared" si="50"/>
        <v/>
      </c>
      <c r="EP8" s="12" t="str">
        <f t="shared" si="43"/>
        <v/>
      </c>
      <c r="EQ8" s="66">
        <f t="array" ref="EQ8:ER8">LOGEST(EG8:EI8, EL8:EN8, TRUE, TRUE)</f>
        <v>0.96036120483659493</v>
      </c>
      <c r="ER8" s="66">
        <v>5.2120938579333061E-3</v>
      </c>
      <c r="ES8" s="53">
        <v>0</v>
      </c>
      <c r="ET8" s="53">
        <v>2</v>
      </c>
      <c r="EU8" s="53">
        <v>4</v>
      </c>
      <c r="EV8" s="53">
        <v>10</v>
      </c>
      <c r="EW8" s="53">
        <v>18</v>
      </c>
      <c r="EX8" s="53">
        <v>24</v>
      </c>
      <c r="EY8" s="53">
        <v>26</v>
      </c>
      <c r="EZ8" s="53">
        <v>34</v>
      </c>
      <c r="FA8" s="53">
        <v>42</v>
      </c>
      <c r="FB8" s="53">
        <v>48</v>
      </c>
      <c r="FC8" s="53">
        <v>50</v>
      </c>
      <c r="FD8" s="53">
        <v>58</v>
      </c>
      <c r="FE8" s="53">
        <v>66</v>
      </c>
      <c r="FF8" s="53">
        <v>72</v>
      </c>
      <c r="FG8" s="53">
        <v>78</v>
      </c>
      <c r="FH8" s="53">
        <v>84</v>
      </c>
      <c r="FI8" s="53">
        <v>90</v>
      </c>
      <c r="FJ8" s="53">
        <v>96</v>
      </c>
      <c r="FK8" s="54">
        <f t="shared" ref="FK8:GB8" si="73">($ER8*$EQ$8^ES8)/$H8</f>
        <v>6.9578078466604013E-5</v>
      </c>
      <c r="FL8" s="54">
        <f t="shared" si="73"/>
        <v>6.4171419514449173E-5</v>
      </c>
      <c r="FM8" s="54">
        <f t="shared" si="73"/>
        <v>5.9184892328924626E-5</v>
      </c>
      <c r="FN8" s="54">
        <f t="shared" si="73"/>
        <v>4.643211951535263E-5</v>
      </c>
      <c r="FO8" s="54">
        <f t="shared" si="73"/>
        <v>3.3596603269817769E-5</v>
      </c>
      <c r="FP8" s="54">
        <f t="shared" si="73"/>
        <v>2.635742732561645E-5</v>
      </c>
      <c r="FQ8" s="54">
        <f t="shared" si="73"/>
        <v>2.4309287688155576E-5</v>
      </c>
      <c r="FR8" s="54">
        <f t="shared" si="73"/>
        <v>1.7589321847795167E-5</v>
      </c>
      <c r="FS8" s="54">
        <f t="shared" si="73"/>
        <v>1.2726997476609255E-5</v>
      </c>
      <c r="FT8" s="54">
        <f t="shared" si="73"/>
        <v>9.9846674489379695E-6</v>
      </c>
      <c r="FU8" s="54">
        <f t="shared" si="73"/>
        <v>9.2087953231648994E-6</v>
      </c>
      <c r="FV8" s="54">
        <f t="shared" si="73"/>
        <v>6.6631514196337205E-6</v>
      </c>
      <c r="FW8" s="54">
        <f t="shared" si="73"/>
        <v>4.8212155100552497E-6</v>
      </c>
      <c r="FX8" s="54">
        <f t="shared" si="73"/>
        <v>3.7823715810454117E-6</v>
      </c>
      <c r="FY8" s="54">
        <f t="shared" si="73"/>
        <v>2.967370935246996E-6</v>
      </c>
      <c r="FZ8" s="54">
        <f t="shared" si="73"/>
        <v>2.3279812886376789E-6</v>
      </c>
      <c r="GA8" s="54">
        <f t="shared" si="73"/>
        <v>1.8263631337334115E-6</v>
      </c>
      <c r="GB8" s="54">
        <f t="shared" si="73"/>
        <v>1.4328303721944869E-6</v>
      </c>
      <c r="GC8" s="66">
        <f t="array" ref="GC8:GD8">LOGEST(FK8:GB8, ES8:FJ8, TRUE, TRUE)</f>
        <v>0.96036120483659493</v>
      </c>
      <c r="GD8" s="71">
        <v>6.9578078466603986E-5</v>
      </c>
      <c r="GE8" s="2">
        <f t="shared" ref="GE8:GE15" si="74">-LN(FT8/FK8)/FB8</f>
        <v>4.044581024831205E-2</v>
      </c>
      <c r="GF8" s="2">
        <f t="shared" si="65"/>
        <v>17.137675727212631</v>
      </c>
      <c r="GG8" s="2">
        <f>(GF8*DATA!$B$3)/(DATA!$B$3+GF8)</f>
        <v>15.737387453162341</v>
      </c>
      <c r="GH8" s="17">
        <f t="shared" si="66"/>
        <v>1.5797181461387792E-3</v>
      </c>
      <c r="GI8" s="96">
        <f>DATA!$B$6/DW8</f>
        <v>13.270620135301776</v>
      </c>
      <c r="GJ8" s="96"/>
      <c r="GK8" s="2">
        <f t="shared" ref="GK8:GK15" si="75">IF(G8&lt;F8, 0.0188*(G8^(-2/3)), 0.0188*F8^(-2/3))</f>
        <v>9.8017809321300389E-4</v>
      </c>
      <c r="GL8" s="2">
        <f>GK8*EF8 + GH8*DATA!$B$8</f>
        <v>0.20220634267244481</v>
      </c>
      <c r="GM8" s="96">
        <f>DATA!$B$7/GL8</f>
        <v>9.8908865744128072</v>
      </c>
      <c r="GN8" s="96"/>
      <c r="GO8" s="93">
        <f t="shared" si="67"/>
        <v>13.270620135301776</v>
      </c>
      <c r="GP8" s="51">
        <f t="shared" si="68"/>
        <v>358</v>
      </c>
      <c r="GQ8" s="93">
        <f t="shared" si="36"/>
        <v>9.8908865744128072</v>
      </c>
      <c r="GR8" s="51">
        <f t="shared" si="37"/>
        <v>267</v>
      </c>
      <c r="GS8" s="1">
        <v>13.2</v>
      </c>
      <c r="GT8" s="1">
        <v>1.84</v>
      </c>
      <c r="GU8" s="1">
        <v>0.53</v>
      </c>
      <c r="GV8" s="57">
        <f t="shared" ref="GV8:GV15" si="76">V8</f>
        <v>44376.503472222219</v>
      </c>
      <c r="GW8" s="2">
        <f t="shared" si="7"/>
        <v>1.5666666665347293</v>
      </c>
      <c r="GX8" s="1">
        <v>10</v>
      </c>
      <c r="GY8" s="2">
        <f t="shared" si="38"/>
        <v>0.52359877500000007</v>
      </c>
      <c r="GZ8" s="2">
        <f t="shared" ref="GZ8" si="77">IF(GS8="","",((GS8-GU8)*GT8/GY8))</f>
        <v>44.524168338629124</v>
      </c>
      <c r="HA8" s="1">
        <v>60.3</v>
      </c>
      <c r="HB8" s="1">
        <v>1.99</v>
      </c>
      <c r="HC8" s="1">
        <v>4.1900000000000004</v>
      </c>
      <c r="HD8" s="57">
        <f t="shared" si="9"/>
        <v>44377.29583333333</v>
      </c>
      <c r="HE8" s="2">
        <f t="shared" si="10"/>
        <v>20.583333333197515</v>
      </c>
      <c r="HF8" s="1">
        <v>27.8</v>
      </c>
      <c r="HG8" s="1">
        <v>1.64</v>
      </c>
      <c r="HH8" s="1">
        <v>1.1000000000000001</v>
      </c>
      <c r="HI8" s="57">
        <f t="shared" si="11"/>
        <v>44378.385416666664</v>
      </c>
      <c r="HJ8" s="2">
        <f t="shared" si="12"/>
        <v>46.733333333220799</v>
      </c>
      <c r="HK8" s="1"/>
      <c r="HL8" s="1"/>
      <c r="HM8" s="1"/>
      <c r="HN8" s="57">
        <f t="shared" si="51"/>
        <v>0</v>
      </c>
      <c r="HO8" s="2" t="str">
        <f t="shared" si="13"/>
        <v/>
      </c>
      <c r="HP8" s="1"/>
      <c r="HQ8" s="1"/>
      <c r="HR8" s="1"/>
      <c r="HS8" s="57">
        <f t="shared" si="52"/>
        <v>0</v>
      </c>
      <c r="HT8" s="2" t="str">
        <f t="shared" si="53"/>
        <v/>
      </c>
      <c r="HU8" s="2">
        <f t="shared" ref="HU8:HU9" si="78">GW8</f>
        <v>1.5666666665347293</v>
      </c>
      <c r="HV8" s="2">
        <f t="shared" ref="HV8:HV9" si="79">HE8</f>
        <v>20.583333333197515</v>
      </c>
      <c r="HW8" s="2">
        <f t="shared" ref="HW8:HW9" si="80">HJ8</f>
        <v>46.733333333220799</v>
      </c>
      <c r="HX8" s="2"/>
      <c r="HY8" s="2"/>
      <c r="HZ8" s="2">
        <f t="shared" ref="HZ8:HZ9" si="81">(GS8-GU8)*GT8/GY8</f>
        <v>44.524168338629124</v>
      </c>
      <c r="IA8" s="2">
        <f t="shared" ref="IA8:IA9" si="82">(HA8-HC8)*HB8/GY8</f>
        <v>213.25279074612041</v>
      </c>
      <c r="IB8" s="2">
        <f t="shared" ref="IB8:IB9" si="83">(HF8-HH8)*HG8/GY8</f>
        <v>83.628919872854922</v>
      </c>
      <c r="IC8" s="2"/>
      <c r="ID8" s="2"/>
      <c r="IE8" s="2"/>
      <c r="IF8" s="2"/>
      <c r="IG8" s="2"/>
      <c r="IH8" s="2"/>
      <c r="II8" s="2"/>
      <c r="IJ8" s="2">
        <f t="array" ref="IJ8:IK8">LOGEST(IA8:IB8, HV8:HW8, TRUE, FALSE)</f>
        <v>0.96483623380653993</v>
      </c>
      <c r="IK8" s="2">
        <v>445.54477892146133</v>
      </c>
      <c r="IL8" s="2">
        <f t="shared" si="14"/>
        <v>3.5796897944785376E-2</v>
      </c>
      <c r="IM8" s="2">
        <f>LN(2)/IL8</f>
        <v>19.363330912893186</v>
      </c>
      <c r="IN8" s="2">
        <f>(IM8*DATA!$B$3)/(DATA!B3+'Inputs-new'!IM8)</f>
        <v>17.594486783224074</v>
      </c>
      <c r="IO8" s="2">
        <f t="shared" ref="IO8:IO9" si="84">IK8</f>
        <v>445.54477892146133</v>
      </c>
      <c r="IP8" s="2">
        <f t="shared" ref="IP8:IP9" si="85">IO8/I8</f>
        <v>6.9765173109172594</v>
      </c>
      <c r="IQ8" s="2">
        <f t="shared" ref="IQ8:IQ9" si="86">IN8/LN(2)</f>
        <v>25.383478829143783</v>
      </c>
      <c r="IR8" s="2">
        <f t="shared" ref="IR8:IR9" si="87">IQ8*IP8/1000</f>
        <v>0.17708827946282338</v>
      </c>
      <c r="IS8" s="2">
        <f>110.01*(GY8^0.0275)</f>
        <v>108.06986943659805</v>
      </c>
      <c r="IT8" s="2">
        <f t="shared" ref="IT8:IT9" si="88">IS8*IR8</f>
        <v>19.137907240299111</v>
      </c>
      <c r="IU8" s="2">
        <f t="shared" ref="IU8:IU9" si="89">IT8/1000</f>
        <v>1.913790724029911E-2</v>
      </c>
      <c r="IV8" s="72">
        <f t="shared" ref="IV8:IV9" si="90">(80/IU8)/1000</f>
        <v>4.1801853774033484</v>
      </c>
    </row>
    <row r="9" spans="1:256" ht="15.75" thickBot="1" x14ac:dyDescent="0.3">
      <c r="A9" s="1">
        <v>8</v>
      </c>
      <c r="B9" s="67"/>
      <c r="C9" s="5" t="s">
        <v>160</v>
      </c>
      <c r="D9" s="45"/>
      <c r="E9" s="5">
        <v>173</v>
      </c>
      <c r="F9" s="31">
        <v>63.2</v>
      </c>
      <c r="G9" s="2">
        <f t="shared" si="69"/>
        <v>88.527000000000001</v>
      </c>
      <c r="H9" s="34">
        <v>53.84</v>
      </c>
      <c r="I9" s="63">
        <f>Z9*EXP(DATA!$B$4*Y9)</f>
        <v>42.544521253235558</v>
      </c>
      <c r="J9" s="63">
        <f>AA9*EXP(DATA!$B$5*'Inputs-new'!Y9)</f>
        <v>42.544521253235558</v>
      </c>
      <c r="K9" s="34"/>
      <c r="L9" s="15">
        <v>44690.670138888891</v>
      </c>
      <c r="M9" s="15">
        <v>44690.618055555555</v>
      </c>
      <c r="N9" s="3">
        <v>1.01</v>
      </c>
      <c r="O9" s="11"/>
      <c r="P9" s="21"/>
      <c r="Q9" s="1"/>
      <c r="R9" s="1"/>
      <c r="S9" s="2" t="e">
        <f t="shared" si="54"/>
        <v>#DIV/0!</v>
      </c>
      <c r="T9" s="13">
        <f>Q9*EXP((O9-M9)*24*DATA!$B$4)</f>
        <v>0</v>
      </c>
      <c r="U9" s="20" t="e">
        <f t="shared" si="55"/>
        <v>#DIV/0!</v>
      </c>
      <c r="V9" s="16">
        <v>44690.750694444447</v>
      </c>
      <c r="W9" s="1">
        <v>205.3</v>
      </c>
      <c r="X9" s="1">
        <v>204481.18</v>
      </c>
      <c r="Y9" s="19">
        <f t="shared" si="16"/>
        <v>1.9333333333488554</v>
      </c>
      <c r="Z9" s="19">
        <f t="shared" si="0"/>
        <v>41.979986254000003</v>
      </c>
      <c r="AA9" s="17">
        <f>IF(Z9 = "", "", Z9*EXP(Y9*DATA!$B$4)*EXP(-DATA!$B$5*'Inputs-new'!Y9))</f>
        <v>42.249537044690065</v>
      </c>
      <c r="AB9" s="16">
        <v>44691.320833333331</v>
      </c>
      <c r="AC9" s="1">
        <v>118.1</v>
      </c>
      <c r="AD9" s="1">
        <v>197253.58</v>
      </c>
      <c r="AE9" s="19">
        <f>IF(AB9="","",(AB9-$L9)*24)</f>
        <v>15.616666666581295</v>
      </c>
      <c r="AF9" s="19">
        <f t="shared" si="17"/>
        <v>23.295647797999997</v>
      </c>
      <c r="AG9" s="17">
        <f>IF(AF9 = "", "", AF9*EXP(AE9*DATA!$B$4)*EXP(-DATA!$B$5*'Inputs-new'!AE9))</f>
        <v>24.531706187247654</v>
      </c>
      <c r="AH9" s="16">
        <v>44692.318749999999</v>
      </c>
      <c r="AI9" s="1">
        <v>49.9</v>
      </c>
      <c r="AJ9" s="1">
        <v>206486.31</v>
      </c>
      <c r="AK9" s="19">
        <f t="shared" si="18"/>
        <v>39.566666666592937</v>
      </c>
      <c r="AL9" s="19">
        <f t="shared" si="19"/>
        <v>10.303666868999999</v>
      </c>
      <c r="AM9" s="17">
        <f>IF(AL9 = "", "", AL9*EXP(AK9*DATA!$B$4)*EXP(-DATA!$B$5*'Inputs-new'!AK9))</f>
        <v>11.745703625722792</v>
      </c>
      <c r="AN9" s="15">
        <v>44693.297222222223</v>
      </c>
      <c r="AO9" s="1">
        <v>22.1</v>
      </c>
      <c r="AP9" s="1">
        <v>194052</v>
      </c>
      <c r="AQ9" s="19">
        <f t="shared" si="39"/>
        <v>63.049999999988358</v>
      </c>
      <c r="AR9" s="19">
        <f t="shared" ref="AR9:AR15" si="91">IF(AO9 = "", "", AO9*AP9/1000000)</f>
        <v>4.2885492000000003</v>
      </c>
      <c r="AS9" s="17">
        <f>IF(AR9 = "", "", AR9*EXP(AQ9*DATA!$B$4)*EXP(-DATA!$B$5*'Inputs-new'!AQ9))</f>
        <v>5.283977256612391</v>
      </c>
      <c r="AT9" s="16">
        <v>44694.297222222223</v>
      </c>
      <c r="AU9" s="1">
        <v>13.2</v>
      </c>
      <c r="AV9" s="1">
        <v>224672</v>
      </c>
      <c r="AW9" s="19">
        <f t="shared" si="40"/>
        <v>87.049999999988358</v>
      </c>
      <c r="AX9" s="19">
        <f t="shared" si="21"/>
        <v>2.9656704</v>
      </c>
      <c r="AY9" s="17">
        <f>IF(AX9 = "", "", AX9*EXP(AW9*DATA!$B$4)*EXP(-DATA!$B$5*'Inputs-new'!AW9))</f>
        <v>3.9562122160877324</v>
      </c>
      <c r="AZ9" s="16"/>
      <c r="BA9" s="16"/>
      <c r="BB9" s="1"/>
      <c r="BC9" s="63" t="str">
        <f t="shared" si="45"/>
        <v/>
      </c>
      <c r="BD9" s="12" t="str">
        <f>IF(BB9 = "", "", BB9*EXP(DATA!$B$4*(BA9-AZ9)*24))</f>
        <v/>
      </c>
      <c r="BE9" s="12" t="str">
        <f>IF(BD9 = "", "", BD9*EXP(BC9*DATA!$B$4)*EXP(-BC9*DATA!$B$5))</f>
        <v/>
      </c>
      <c r="BF9" s="14" t="e">
        <f t="shared" ref="BF9:BG15" si="92">BD9*$S9/$T9</f>
        <v>#VALUE!</v>
      </c>
      <c r="BG9" s="14" t="e">
        <f t="shared" si="92"/>
        <v>#VALUE!</v>
      </c>
      <c r="BH9" s="16"/>
      <c r="BI9" s="16"/>
      <c r="BJ9" s="1"/>
      <c r="BK9" s="63" t="str">
        <f t="shared" si="46"/>
        <v/>
      </c>
      <c r="BL9" s="12" t="str">
        <f>IF(BJ9 = "", "", BJ9*EXP(DATA!$B$4*(BI9-BH9)*24))</f>
        <v/>
      </c>
      <c r="BM9" s="12" t="str">
        <f>IF(BL9 = "", "", BL9*EXP(BK9*DATA!$B$4)*EXP(-BK9*DATA!$B$5))</f>
        <v/>
      </c>
      <c r="BN9" s="14" t="e">
        <f t="shared" ref="BN9:BN15" si="93">BL9*$S9/$T9</f>
        <v>#VALUE!</v>
      </c>
      <c r="BO9" s="14" t="e">
        <f t="shared" ref="BO9:BO15" si="94">BM9*($S9/$T9)</f>
        <v>#VALUE!</v>
      </c>
      <c r="BP9" s="16"/>
      <c r="BQ9" s="16"/>
      <c r="BR9" s="1"/>
      <c r="BS9" s="2" t="str">
        <f t="shared" si="57"/>
        <v/>
      </c>
      <c r="BT9" s="12" t="str">
        <f>IF(BR9 = "", "", BR9*EXP(DATA!$B$4*(BQ9-BP9)*24))</f>
        <v/>
      </c>
      <c r="BU9" s="12" t="str">
        <f>IF(BT9 = "", "", BT9*EXP(BS9*DATA!$B$4)*EXP(-BS9*DATA!$B$5))</f>
        <v/>
      </c>
      <c r="BV9" s="14" t="e">
        <f t="shared" ref="BV9:BW15" si="95">BT9*$S9/$T9</f>
        <v>#VALUE!</v>
      </c>
      <c r="BW9" s="2" t="e">
        <f t="shared" si="95"/>
        <v>#VALUE!</v>
      </c>
      <c r="BX9" s="16"/>
      <c r="BY9" s="16"/>
      <c r="BZ9" s="1"/>
      <c r="CA9" s="12" t="str">
        <f t="shared" si="22"/>
        <v/>
      </c>
      <c r="CB9" s="12" t="str">
        <f>IF(BZ9 = "", "", BZ9*EXP(DATA!$B$4*(BY9-BX9)*24))</f>
        <v/>
      </c>
      <c r="CC9" s="12" t="str">
        <f>IF(CB9 = "", "", CB9*EXP(CA9*DATA!$B$4)*EXP(-CA9*DATA!$B$5))</f>
        <v/>
      </c>
      <c r="CD9" s="14" t="e">
        <f t="shared" ref="CD9:CD15" si="96">CB9*$S9/$T9</f>
        <v>#VALUE!</v>
      </c>
      <c r="CE9" s="60" t="e">
        <f t="shared" ref="CE9:CE15" si="97">CC9*($S9/$T9)</f>
        <v>#VALUE!</v>
      </c>
      <c r="CF9" s="16"/>
      <c r="CG9" s="16"/>
      <c r="CH9" s="1"/>
      <c r="CI9" s="12" t="str">
        <f t="shared" si="23"/>
        <v/>
      </c>
      <c r="CJ9" s="12" t="str">
        <f>IF(CH9 = "", "", CH9*EXP(DATA!$B$4*(CG9-CF9)*24))</f>
        <v/>
      </c>
      <c r="CK9" s="12" t="str">
        <f>IF(CJ9 = "", "", CJ9*EXP(CI9*DATA!$B$4)*EXP(-CI9*DATA!$B$5))</f>
        <v/>
      </c>
      <c r="CL9" s="61" t="e">
        <f t="shared" ref="CL9:CL15" si="98">CJ9*$S9/$T9</f>
        <v>#VALUE!</v>
      </c>
      <c r="CM9" s="62" t="e">
        <f t="shared" ref="CM9:CM15" si="99">CK9*($S9/$T9)</f>
        <v>#VALUE!</v>
      </c>
      <c r="CN9" s="41">
        <f t="shared" ref="CN9:CN15" si="100">AA9</f>
        <v>42.249537044690065</v>
      </c>
      <c r="CO9" s="42">
        <f t="shared" si="25"/>
        <v>24.531706187247654</v>
      </c>
      <c r="CP9" s="42">
        <f t="shared" si="26"/>
        <v>11.745703625722792</v>
      </c>
      <c r="CQ9" s="42">
        <f t="shared" si="27"/>
        <v>5.283977256612391</v>
      </c>
      <c r="CR9" s="42">
        <f t="shared" si="28"/>
        <v>3.9562122160877324</v>
      </c>
      <c r="CS9" s="42">
        <f t="shared" si="29"/>
        <v>1.9333333333488554</v>
      </c>
      <c r="CT9" s="42">
        <f t="shared" si="30"/>
        <v>15.616666666581295</v>
      </c>
      <c r="CU9" s="42">
        <f t="shared" si="31"/>
        <v>39.566666666592937</v>
      </c>
      <c r="CV9" s="42">
        <f t="shared" si="32"/>
        <v>63.049999999988358</v>
      </c>
      <c r="CW9" s="42">
        <f t="shared" si="33"/>
        <v>87.049999999988358</v>
      </c>
      <c r="CX9" s="74">
        <f t="array" ref="CX9:CY9">LOGEST(CN9:CR9,CS9:CW9,TRUE,TRUE)</f>
        <v>0.97184080764710745</v>
      </c>
      <c r="CY9" s="74">
        <v>39.376124333756636</v>
      </c>
      <c r="CZ9" s="2">
        <v>0</v>
      </c>
      <c r="DA9" s="2">
        <v>2</v>
      </c>
      <c r="DB9" s="2">
        <v>4</v>
      </c>
      <c r="DC9" s="2">
        <v>10</v>
      </c>
      <c r="DD9" s="2">
        <v>18</v>
      </c>
      <c r="DE9" s="2">
        <v>24</v>
      </c>
      <c r="DF9" s="2">
        <v>26</v>
      </c>
      <c r="DG9" s="2">
        <v>34</v>
      </c>
      <c r="DH9" s="2">
        <v>42</v>
      </c>
      <c r="DI9" s="2">
        <v>48</v>
      </c>
      <c r="DJ9" s="2">
        <v>50</v>
      </c>
      <c r="DK9" s="2">
        <v>58</v>
      </c>
      <c r="DL9" s="2">
        <v>66</v>
      </c>
      <c r="DM9" s="2">
        <v>74</v>
      </c>
      <c r="DN9" s="2">
        <f t="shared" ref="DN9:DN15" si="101">($CY9*$CX9^CZ9)/$J9</f>
        <v>0.92552749857919803</v>
      </c>
      <c r="DO9" s="2">
        <f t="shared" ref="DO9:EA9" si="102">($CY9*$CX9^DA9)/$J9</f>
        <v>0.874137172738635</v>
      </c>
      <c r="DP9" s="2">
        <f t="shared" si="102"/>
        <v>0.82560031758808772</v>
      </c>
      <c r="DQ9" s="2">
        <f t="shared" si="102"/>
        <v>0.69556967282720039</v>
      </c>
      <c r="DR9" s="2">
        <f t="shared" si="102"/>
        <v>0.55347968813768622</v>
      </c>
      <c r="DS9" s="2">
        <f t="shared" si="102"/>
        <v>0.46630757933708694</v>
      </c>
      <c r="DT9" s="2">
        <f t="shared" si="102"/>
        <v>0.44041564367786085</v>
      </c>
      <c r="DU9" s="2">
        <f t="shared" si="102"/>
        <v>0.35044816160974013</v>
      </c>
      <c r="DV9" s="2">
        <f t="shared" si="102"/>
        <v>0.27885910897724153</v>
      </c>
      <c r="DW9" s="2">
        <f t="shared" si="102"/>
        <v>0.23493927396108247</v>
      </c>
      <c r="DX9" s="2">
        <f t="shared" si="102"/>
        <v>0.22189416632231448</v>
      </c>
      <c r="DY9" s="2">
        <f t="shared" si="102"/>
        <v>0.17656594123268662</v>
      </c>
      <c r="DZ9" s="2">
        <f t="shared" si="102"/>
        <v>0.14049730157439214</v>
      </c>
      <c r="EA9" s="2">
        <f t="shared" si="102"/>
        <v>0.11179671238901104</v>
      </c>
      <c r="EB9" s="74">
        <f t="array" ref="EB9:EC9">LOGEST(DN9:EA9,CZ9:DM9,TRUE,TRUE)</f>
        <v>0.97184080764710745</v>
      </c>
      <c r="EC9" s="74">
        <v>0.92552749857919825</v>
      </c>
      <c r="ED9" s="2">
        <f t="shared" si="2"/>
        <v>2.8563266075638152E-2</v>
      </c>
      <c r="EE9" s="2">
        <f t="shared" si="3"/>
        <v>24.267084118616822</v>
      </c>
      <c r="EF9" s="17">
        <f t="shared" si="4"/>
        <v>32.402719497424293</v>
      </c>
      <c r="EG9" s="2" t="e">
        <f t="shared" si="59"/>
        <v>#VALUE!</v>
      </c>
      <c r="EH9" s="2" t="e">
        <f t="shared" si="60"/>
        <v>#VALUE!</v>
      </c>
      <c r="EI9" s="2" t="e">
        <f t="shared" si="61"/>
        <v>#VALUE!</v>
      </c>
      <c r="EJ9" s="2" t="e">
        <f t="shared" si="62"/>
        <v>#VALUE!</v>
      </c>
      <c r="EK9" s="2" t="e">
        <f t="shared" si="63"/>
        <v>#VALUE!</v>
      </c>
      <c r="EL9" s="12" t="str">
        <f t="shared" si="42"/>
        <v/>
      </c>
      <c r="EM9" s="12" t="str">
        <f t="shared" si="48"/>
        <v/>
      </c>
      <c r="EN9" s="12" t="str">
        <f t="shared" si="49"/>
        <v/>
      </c>
      <c r="EO9" s="12" t="str">
        <f t="shared" si="50"/>
        <v/>
      </c>
      <c r="EP9" s="12" t="str">
        <f t="shared" si="43"/>
        <v/>
      </c>
      <c r="EQ9" s="66" t="e">
        <f t="array" ref="EQ9:ER9">LOGEST(EG9:EI9, EL9:EN9, TRUE, TRUE)</f>
        <v>#VALUE!</v>
      </c>
      <c r="ER9" s="66" t="e">
        <v>#VALUE!</v>
      </c>
      <c r="ES9" s="53">
        <v>0</v>
      </c>
      <c r="ET9" s="53">
        <v>2</v>
      </c>
      <c r="EU9" s="53">
        <v>4</v>
      </c>
      <c r="EV9" s="53">
        <v>10</v>
      </c>
      <c r="EW9" s="53">
        <v>18</v>
      </c>
      <c r="EX9" s="53">
        <v>24</v>
      </c>
      <c r="EY9" s="53">
        <v>26</v>
      </c>
      <c r="EZ9" s="53">
        <v>34</v>
      </c>
      <c r="FA9" s="53">
        <v>42</v>
      </c>
      <c r="FB9" s="53">
        <v>48</v>
      </c>
      <c r="FC9" s="53">
        <v>50</v>
      </c>
      <c r="FD9" s="53">
        <v>58</v>
      </c>
      <c r="FE9" s="53">
        <v>66</v>
      </c>
      <c r="FF9" s="53">
        <v>72</v>
      </c>
      <c r="FG9" s="53">
        <v>78</v>
      </c>
      <c r="FH9" s="53">
        <v>84</v>
      </c>
      <c r="FI9" s="53">
        <v>90</v>
      </c>
      <c r="FJ9" s="53">
        <v>96</v>
      </c>
      <c r="FK9" s="54" t="e">
        <f t="shared" ref="FK9:FK15" si="103">($ER9*$EQ9^ES9)/$I9</f>
        <v>#VALUE!</v>
      </c>
      <c r="FL9" s="54" t="e">
        <f t="shared" ref="FL9:GB9" si="104">($ER9*$EQ$9^ET9)/$I9</f>
        <v>#VALUE!</v>
      </c>
      <c r="FM9" s="54" t="e">
        <f t="shared" si="104"/>
        <v>#VALUE!</v>
      </c>
      <c r="FN9" s="54" t="e">
        <f t="shared" si="104"/>
        <v>#VALUE!</v>
      </c>
      <c r="FO9" s="54" t="e">
        <f t="shared" si="104"/>
        <v>#VALUE!</v>
      </c>
      <c r="FP9" s="54" t="e">
        <f t="shared" si="104"/>
        <v>#VALUE!</v>
      </c>
      <c r="FQ9" s="54" t="e">
        <f t="shared" si="104"/>
        <v>#VALUE!</v>
      </c>
      <c r="FR9" s="54" t="e">
        <f t="shared" si="104"/>
        <v>#VALUE!</v>
      </c>
      <c r="FS9" s="54" t="e">
        <f t="shared" si="104"/>
        <v>#VALUE!</v>
      </c>
      <c r="FT9" s="54" t="e">
        <f t="shared" si="104"/>
        <v>#VALUE!</v>
      </c>
      <c r="FU9" s="54" t="e">
        <f t="shared" si="104"/>
        <v>#VALUE!</v>
      </c>
      <c r="FV9" s="54" t="e">
        <f t="shared" si="104"/>
        <v>#VALUE!</v>
      </c>
      <c r="FW9" s="54" t="e">
        <f t="shared" si="104"/>
        <v>#VALUE!</v>
      </c>
      <c r="FX9" s="54" t="e">
        <f t="shared" si="104"/>
        <v>#VALUE!</v>
      </c>
      <c r="FY9" s="54" t="e">
        <f t="shared" si="104"/>
        <v>#VALUE!</v>
      </c>
      <c r="FZ9" s="54" t="e">
        <f t="shared" si="104"/>
        <v>#VALUE!</v>
      </c>
      <c r="GA9" s="54" t="e">
        <f t="shared" si="104"/>
        <v>#VALUE!</v>
      </c>
      <c r="GB9" s="54" t="e">
        <f t="shared" si="104"/>
        <v>#VALUE!</v>
      </c>
      <c r="GC9" s="35" t="e">
        <f t="array" ref="GC9:GD9">LOGEST(FK9:GB9, ES9:FJ9, TRUE, TRUE)</f>
        <v>#VALUE!</v>
      </c>
      <c r="GD9" s="69" t="e">
        <v>#VALUE!</v>
      </c>
      <c r="GE9" s="2" t="e">
        <f t="shared" si="74"/>
        <v>#VALUE!</v>
      </c>
      <c r="GF9" s="2" t="e">
        <f t="shared" si="65"/>
        <v>#VALUE!</v>
      </c>
      <c r="GG9" s="2" t="e">
        <f>(GF9*DATA!$B$3)/(DATA!$B$3+GF9)</f>
        <v>#VALUE!</v>
      </c>
      <c r="GH9" s="17" t="e">
        <f t="shared" si="66"/>
        <v>#VALUE!</v>
      </c>
      <c r="GI9" s="96">
        <f>DATA!$B$6/DW9</f>
        <v>12.599000371859164</v>
      </c>
      <c r="GJ9" s="96"/>
      <c r="GK9" s="2">
        <f t="shared" si="75"/>
        <v>1.1848948096281763E-3</v>
      </c>
      <c r="GL9" s="2" t="e">
        <f>GK9*EF9 + GH9*DATA!$B$8</f>
        <v>#VALUE!</v>
      </c>
      <c r="GM9" s="96" t="e">
        <f>DATA!$B$7/GL9</f>
        <v>#VALUE!</v>
      </c>
      <c r="GN9" s="96"/>
      <c r="GO9" s="93">
        <f t="shared" si="67"/>
        <v>12.599000371859164</v>
      </c>
      <c r="GP9" s="51">
        <f t="shared" si="68"/>
        <v>340</v>
      </c>
      <c r="GQ9" s="93" t="e">
        <f t="shared" si="36"/>
        <v>#VALUE!</v>
      </c>
      <c r="GR9" s="51" t="e">
        <f t="shared" si="37"/>
        <v>#VALUE!</v>
      </c>
      <c r="GS9" s="1">
        <v>1.04</v>
      </c>
      <c r="GT9" s="1">
        <v>25.03</v>
      </c>
      <c r="GU9" s="1">
        <v>0.375</v>
      </c>
      <c r="GV9" s="57">
        <f t="shared" si="76"/>
        <v>44690.750694444447</v>
      </c>
      <c r="GW9" s="2">
        <f t="shared" si="7"/>
        <v>1.9333333333488554</v>
      </c>
      <c r="GX9" s="1">
        <v>13.2</v>
      </c>
      <c r="GY9" s="2">
        <f t="shared" ref="GY9:GY18" si="105">IF(GX9 = "", "", 0.001 * 4/3 *3.14159265*(GX9/2)^3)</f>
        <v>1.2042604273392001</v>
      </c>
      <c r="GZ9" s="2">
        <f t="shared" ref="GZ9:GZ18" si="106">IF(GS9="","",((GS9-GU9)*GT9/GY9))</f>
        <v>13.82171963980983</v>
      </c>
      <c r="HA9" s="1">
        <v>1.28</v>
      </c>
      <c r="HB9" s="1">
        <v>18.11</v>
      </c>
      <c r="HC9" s="1">
        <v>0.2</v>
      </c>
      <c r="HD9" s="57">
        <f t="shared" si="9"/>
        <v>44691.320833333331</v>
      </c>
      <c r="HE9" s="2">
        <f t="shared" si="10"/>
        <v>15.616666666581295</v>
      </c>
      <c r="HF9" s="1">
        <v>0.82599999999999996</v>
      </c>
      <c r="HG9" s="1">
        <v>16.87</v>
      </c>
      <c r="HH9" s="1">
        <v>7.4999999999999997E-2</v>
      </c>
      <c r="HI9" s="57">
        <f t="shared" ref="HI9:HI21" si="107">AH9</f>
        <v>44692.318749999999</v>
      </c>
      <c r="HJ9" s="2">
        <f t="shared" ref="HJ9:HJ21" si="108">AK9</f>
        <v>39.566666666592937</v>
      </c>
      <c r="HK9" s="1">
        <v>0.51300000000000001</v>
      </c>
      <c r="HL9" s="1">
        <v>19.61</v>
      </c>
      <c r="HM9" s="1">
        <v>2.7E-2</v>
      </c>
      <c r="HN9" s="57">
        <f t="shared" si="51"/>
        <v>44693.297222222223</v>
      </c>
      <c r="HO9" s="2">
        <f t="shared" si="13"/>
        <v>63.049999999988358</v>
      </c>
      <c r="HP9" s="1">
        <v>0.47</v>
      </c>
      <c r="HQ9" s="1">
        <v>18.100000000000001</v>
      </c>
      <c r="HR9" s="1">
        <v>2.1999999999999999E-2</v>
      </c>
      <c r="HS9" s="57">
        <f t="shared" si="52"/>
        <v>44694.297222222223</v>
      </c>
      <c r="HT9" s="2">
        <f t="shared" si="53"/>
        <v>87.049999999988358</v>
      </c>
      <c r="HU9" s="72">
        <f t="shared" si="78"/>
        <v>1.9333333333488554</v>
      </c>
      <c r="HV9" s="72">
        <f t="shared" si="79"/>
        <v>15.616666666581295</v>
      </c>
      <c r="HW9" s="72">
        <f t="shared" si="80"/>
        <v>39.566666666592937</v>
      </c>
      <c r="HX9" s="72">
        <f t="shared" ref="HX9" si="109">HO9</f>
        <v>63.049999999988358</v>
      </c>
      <c r="HY9" s="72">
        <f t="shared" ref="HY9" si="110">HT9</f>
        <v>87.049999999988358</v>
      </c>
      <c r="HZ9" s="2">
        <f t="shared" si="81"/>
        <v>13.82171963980983</v>
      </c>
      <c r="IA9" s="2">
        <f t="shared" si="82"/>
        <v>16.241337468187798</v>
      </c>
      <c r="IB9" s="2">
        <f t="shared" si="83"/>
        <v>10.520456964605929</v>
      </c>
      <c r="IC9" s="2">
        <f t="shared" ref="IC9" si="111">(HK9-HM9)*HL9/$GY9</f>
        <v>7.9139526498080182</v>
      </c>
      <c r="ID9" s="2">
        <f t="shared" ref="ID9" si="112">(HP9-HR9)*HQ9/$GY9</f>
        <v>6.7334272686484455</v>
      </c>
      <c r="IE9" s="14">
        <f>HZ9*EXP(DATA!$B$4*'Inputs-new'!HU9)</f>
        <v>14.007590222022099</v>
      </c>
      <c r="IF9" s="14">
        <f>IA9*EXP(DATA!$B$4*'Inputs-new'!HV9)</f>
        <v>18.091837842066603</v>
      </c>
      <c r="IG9" s="14">
        <f>IB9*EXP(DATA!$B$4*'Inputs-new'!HW9)</f>
        <v>13.82809042315408</v>
      </c>
      <c r="IH9" s="14">
        <f>IC9*EXP(DATA!$B$4*'Inputs-new'!HX9)</f>
        <v>12.234534191279675</v>
      </c>
      <c r="II9" s="14">
        <f>ID9*EXP(DATA!$B$4*'Inputs-new'!HY9)</f>
        <v>12.287029763901891</v>
      </c>
      <c r="IJ9" s="2">
        <f t="array" ref="IJ9:IK9">LOGEST(IF9:IH9, HV9:HX9, TRUE, FALSE)</f>
        <v>0.99177681887841918</v>
      </c>
      <c r="IK9" s="2">
        <v>20.103617020754452</v>
      </c>
      <c r="IL9" s="2">
        <f t="shared" ref="IL9" si="113">IF(IK9="","",-LN(IJ9))</f>
        <v>8.2571779786146018E-3</v>
      </c>
      <c r="IM9" s="2">
        <f t="shared" ref="IM9" si="114">LN(2)/IL9</f>
        <v>83.944803219106859</v>
      </c>
      <c r="IN9" s="2">
        <f>(IM9*DATA!$B$3)/(DATA!$B$3+'Inputs-new'!IM9)</f>
        <v>58.46391333364376</v>
      </c>
      <c r="IO9" s="2">
        <f t="shared" si="84"/>
        <v>20.103617020754452</v>
      </c>
      <c r="IP9" s="2">
        <f t="shared" si="85"/>
        <v>0.47253127849512583</v>
      </c>
      <c r="IQ9" s="2">
        <f t="shared" si="86"/>
        <v>84.345597837409997</v>
      </c>
      <c r="IR9" s="2">
        <f t="shared" si="87"/>
        <v>3.9855933181547065E-2</v>
      </c>
      <c r="IS9" s="2">
        <f t="shared" ref="IS9" si="115">110.01*(GY9^0.0275)</f>
        <v>110.57373411058636</v>
      </c>
      <c r="IT9" s="63">
        <f t="shared" si="88"/>
        <v>4.4070193583456811</v>
      </c>
      <c r="IU9" s="2">
        <f t="shared" si="89"/>
        <v>4.4070193583456811E-3</v>
      </c>
      <c r="IV9" s="72">
        <f t="shared" si="90"/>
        <v>18.152858768024704</v>
      </c>
    </row>
    <row r="10" spans="1:256" ht="15.75" thickBot="1" x14ac:dyDescent="0.3">
      <c r="A10" s="1">
        <v>9</v>
      </c>
      <c r="B10" s="1"/>
      <c r="C10" s="1" t="s">
        <v>159</v>
      </c>
      <c r="D10" s="46"/>
      <c r="E10" s="1">
        <v>183</v>
      </c>
      <c r="F10" s="1">
        <v>91.1</v>
      </c>
      <c r="G10" s="2">
        <f t="shared" si="69"/>
        <v>110.77200000000001</v>
      </c>
      <c r="H10" s="1">
        <v>52.2</v>
      </c>
      <c r="I10" s="63">
        <f>Z10*EXP(DATA!$B$4*Y10)</f>
        <v>46.525435216049999</v>
      </c>
      <c r="J10" s="63">
        <f>AA10*EXP(DATA!$B$5*'Inputs-new'!Y10)</f>
        <v>46.525435216049999</v>
      </c>
      <c r="K10" s="1"/>
      <c r="L10" s="11">
        <v>44753.616666666669</v>
      </c>
      <c r="M10" s="48">
        <v>44753.625</v>
      </c>
      <c r="N10" s="1">
        <v>5.07</v>
      </c>
      <c r="O10" s="48">
        <v>44757.347916666666</v>
      </c>
      <c r="P10" s="1">
        <v>200</v>
      </c>
      <c r="Q10" s="1">
        <v>54412.6</v>
      </c>
      <c r="R10" s="1"/>
      <c r="S10" s="2">
        <f t="shared" si="54"/>
        <v>2.5350000000000001E-2</v>
      </c>
      <c r="T10" s="13">
        <f>Q10*EXP((O10-M10)*24*DATA!$B$4)</f>
        <v>100881.5670945731</v>
      </c>
      <c r="U10" s="20">
        <f t="shared" si="55"/>
        <v>3979548.997813534</v>
      </c>
      <c r="V10" s="48">
        <v>44753.724305555559</v>
      </c>
      <c r="W10" s="1">
        <v>152.1</v>
      </c>
      <c r="X10" s="1">
        <v>300475.75</v>
      </c>
      <c r="Y10" s="19">
        <f t="shared" ref="Y10:Y15" si="116">IF(V10="","",(V10-$L10)*24)</f>
        <v>2.5833333333721384</v>
      </c>
      <c r="Z10" s="19">
        <f t="shared" si="0"/>
        <v>45.702361574999998</v>
      </c>
      <c r="AA10" s="17">
        <f>IF(Z10 = "", "", Z10*EXP(Y10*DATA!$B$4)*EXP(-DATA!$B$5*'Inputs-new'!Y10))</f>
        <v>46.094896697713061</v>
      </c>
      <c r="AB10" s="11">
        <v>44754.329861111109</v>
      </c>
      <c r="AC10" s="1">
        <v>62.7</v>
      </c>
      <c r="AD10" s="1">
        <v>269542.37</v>
      </c>
      <c r="AE10" s="19">
        <f t="shared" si="56"/>
        <v>17.116666666581295</v>
      </c>
      <c r="AF10" s="19">
        <f t="shared" si="17"/>
        <v>16.900306599</v>
      </c>
      <c r="AG10" s="17">
        <f>IF(AF10 = "", "", AF10*EXP(AE10*DATA!$B$4)*EXP(-DATA!$B$5*'Inputs-new'!AE10))</f>
        <v>17.885627478039844</v>
      </c>
      <c r="AH10" s="48">
        <v>44755.320833333331</v>
      </c>
      <c r="AI10" s="1">
        <v>13.1</v>
      </c>
      <c r="AJ10" s="1">
        <v>284515.40999999997</v>
      </c>
      <c r="AK10" s="19">
        <f>IF(AH10="","",(AH10-$L10)*24)</f>
        <v>40.899999999906868</v>
      </c>
      <c r="AL10" s="19">
        <f t="shared" si="19"/>
        <v>3.7271518709999993</v>
      </c>
      <c r="AM10" s="17">
        <f>IF(AL10 = "", "", AL10*EXP(AK10*DATA!$B$4)*EXP(-DATA!$B$5*'Inputs-new'!AK10))</f>
        <v>4.2675766213851203</v>
      </c>
      <c r="AN10" s="48">
        <v>44757.307638888888</v>
      </c>
      <c r="AO10" s="1">
        <v>2.0099999999999998</v>
      </c>
      <c r="AP10" s="1">
        <v>179860</v>
      </c>
      <c r="AQ10" s="19">
        <f t="shared" si="39"/>
        <v>88.583333333255723</v>
      </c>
      <c r="AR10" s="19">
        <f t="shared" si="91"/>
        <v>0.36151859999999997</v>
      </c>
      <c r="AS10" s="17">
        <f>IF(AR10 = "", "", AR10*EXP(AQ10*DATA!$B$4)*EXP(-DATA!$B$5*'Inputs-new'!AQ10))</f>
        <v>0.48472107586956992</v>
      </c>
      <c r="AT10" s="1"/>
      <c r="AU10" s="1"/>
      <c r="AV10" s="1"/>
      <c r="AW10" s="19" t="str">
        <f t="shared" ref="AW10:AW18" si="117">IF(AT10="","",(AT10-$L10)*24)</f>
        <v/>
      </c>
      <c r="AX10" s="19" t="str">
        <f t="shared" ref="AX10:AX18" si="118">IF(AU10 = "", "", AU10*AV10/1000000)</f>
        <v/>
      </c>
      <c r="AY10" s="17" t="str">
        <f>IF(AX10 = "", "", AX10*EXP(AW10*DATA!$B$4)*EXP(-DATA!$B$5*'Inputs-new'!AW10))</f>
        <v/>
      </c>
      <c r="AZ10" s="78">
        <v>44753.770138888889</v>
      </c>
      <c r="BA10" s="48">
        <v>44757.347916666666</v>
      </c>
      <c r="BB10" s="1">
        <v>4099.8</v>
      </c>
      <c r="BC10" s="63">
        <f>IF(AZ10 = "", "", 24*(AZ10-$L10))</f>
        <v>3.6833333332906477</v>
      </c>
      <c r="BD10" s="12">
        <f>IF(BB10 = "", "", BB10*EXP(DATA!$B$4*(BA10-AZ10)*24))</f>
        <v>7420.3191077301535</v>
      </c>
      <c r="BE10" s="12">
        <f>IF(BD10 = "", "", BD10*EXP(BC10*DATA!$B$4)*EXP(-BC10*DATA!$B$5))</f>
        <v>7511.3555277914384</v>
      </c>
      <c r="BF10" s="79">
        <f t="shared" si="92"/>
        <v>1.8646130784687077E-3</v>
      </c>
      <c r="BG10" s="79">
        <f t="shared" si="92"/>
        <v>1.8874891430959561E-3</v>
      </c>
      <c r="BH10" s="16">
        <v>44754.369444444441</v>
      </c>
      <c r="BI10" s="48">
        <v>44757.347916666666</v>
      </c>
      <c r="BJ10" s="1">
        <v>1587.7</v>
      </c>
      <c r="BK10" s="63">
        <f t="shared" si="46"/>
        <v>18.066666666534729</v>
      </c>
      <c r="BL10" s="12">
        <f>IF(BJ10 = "", "", BJ10*EXP(DATA!$B$4*(BI10-BH10)*24))</f>
        <v>2601.7665176388887</v>
      </c>
      <c r="BM10" s="12">
        <f>IF(BL10 = "", "", BL10*EXP(BK10*DATA!$B$4)*EXP(-BK10*DATA!$B$5))</f>
        <v>2762.1279120213785</v>
      </c>
      <c r="BN10" s="79">
        <f t="shared" si="93"/>
        <v>6.5378426526934721E-4</v>
      </c>
      <c r="BO10" s="79">
        <f t="shared" si="94"/>
        <v>6.9408063917267054E-4</v>
      </c>
      <c r="BP10" s="16">
        <v>44755.322916666664</v>
      </c>
      <c r="BQ10" s="48">
        <v>44757.347916666666</v>
      </c>
      <c r="BR10" s="1">
        <v>495.36</v>
      </c>
      <c r="BS10" s="2">
        <f t="shared" si="57"/>
        <v>40.949999999895226</v>
      </c>
      <c r="BT10" s="12">
        <f>IF(BR10 = "", "", BR10*EXP(DATA!$B$4*(BQ10-BP10)*24))</f>
        <v>693.03448285335855</v>
      </c>
      <c r="BU10" s="12">
        <f>IF(BT10 = "", "", BT10*EXP(BS10*DATA!$B$4)*EXP(-BS10*DATA!$B$5))</f>
        <v>793.65356206463957</v>
      </c>
      <c r="BV10" s="79">
        <f t="shared" si="95"/>
        <v>1.7414900111397785E-4</v>
      </c>
      <c r="BW10" s="2">
        <f t="shared" si="95"/>
        <v>1.9943304191019965E-4</v>
      </c>
      <c r="BX10" s="16">
        <v>44757.313194444447</v>
      </c>
      <c r="BY10" s="48">
        <v>44757.347916666666</v>
      </c>
      <c r="BZ10" s="1">
        <v>65</v>
      </c>
      <c r="CA10" s="12">
        <f t="shared" si="22"/>
        <v>88.716666666674428</v>
      </c>
      <c r="CB10" s="12">
        <f>IF(BZ10 = "", "", BZ10*EXP(DATA!$B$4*(BY10-BX10)*24))</f>
        <v>65.375336619994243</v>
      </c>
      <c r="CC10" s="12">
        <f>IF(CB10 = "", "", CB10*EXP(CA10*DATA!$B$4)*EXP(-CA10*DATA!$B$5))</f>
        <v>87.693397424208896</v>
      </c>
      <c r="CD10" s="61">
        <f t="shared" si="96"/>
        <v>1.6427825528951425E-5</v>
      </c>
      <c r="CE10" s="62">
        <f t="shared" si="97"/>
        <v>2.2036013998669164E-5</v>
      </c>
      <c r="CF10" s="16"/>
      <c r="CG10" s="16"/>
      <c r="CH10" s="1"/>
      <c r="CI10" s="12" t="str">
        <f t="shared" si="23"/>
        <v/>
      </c>
      <c r="CJ10" s="12" t="str">
        <f>IF(CH10 = "", "", CH10*EXP(DATA!$B$4*(CG10-CF10)*24))</f>
        <v/>
      </c>
      <c r="CK10" s="12" t="str">
        <f>IF(CJ10 = "", "", CJ10*EXP(CI10*DATA!$B$4)*EXP(-CI10*DATA!$B$5))</f>
        <v/>
      </c>
      <c r="CL10" s="61" t="e">
        <f t="shared" si="98"/>
        <v>#VALUE!</v>
      </c>
      <c r="CM10" s="62" t="e">
        <f t="shared" si="99"/>
        <v>#VALUE!</v>
      </c>
      <c r="CN10" s="41">
        <f t="shared" si="100"/>
        <v>46.094896697713061</v>
      </c>
      <c r="CO10" s="42">
        <f t="shared" si="25"/>
        <v>17.885627478039844</v>
      </c>
      <c r="CP10" s="42">
        <f t="shared" si="26"/>
        <v>4.2675766213851203</v>
      </c>
      <c r="CQ10" s="42">
        <f t="shared" si="27"/>
        <v>0.48472107586956992</v>
      </c>
      <c r="CR10" s="42" t="str">
        <f t="shared" si="28"/>
        <v/>
      </c>
      <c r="CS10" s="42">
        <f t="shared" si="29"/>
        <v>2.5833333333721384</v>
      </c>
      <c r="CT10" s="42">
        <f t="shared" si="30"/>
        <v>17.116666666581295</v>
      </c>
      <c r="CU10" s="42">
        <f t="shared" si="31"/>
        <v>40.899999999906868</v>
      </c>
      <c r="CV10" s="42">
        <f t="shared" si="32"/>
        <v>88.583333333255723</v>
      </c>
      <c r="CW10" s="42" t="str">
        <f t="shared" si="33"/>
        <v/>
      </c>
      <c r="CX10" s="75">
        <f t="array" ref="CX10:CY10">LOGEST(CN10:CQ10,CS10:CV10,TRUE,TRUE)</f>
        <v>0.94892902258218004</v>
      </c>
      <c r="CY10" s="75">
        <v>45.398822928579264</v>
      </c>
      <c r="CZ10" s="76">
        <v>0</v>
      </c>
      <c r="DA10" s="2">
        <v>2</v>
      </c>
      <c r="DB10" s="2">
        <v>4</v>
      </c>
      <c r="DC10" s="2">
        <v>10</v>
      </c>
      <c r="DD10" s="2">
        <v>18</v>
      </c>
      <c r="DE10" s="2">
        <v>24</v>
      </c>
      <c r="DF10" s="2">
        <v>26</v>
      </c>
      <c r="DG10" s="2">
        <v>34</v>
      </c>
      <c r="DH10" s="2">
        <v>42</v>
      </c>
      <c r="DI10" s="2">
        <v>48</v>
      </c>
      <c r="DJ10" s="2">
        <v>50</v>
      </c>
      <c r="DK10" s="2">
        <v>58</v>
      </c>
      <c r="DL10" s="2">
        <v>66</v>
      </c>
      <c r="DM10" s="2">
        <v>74</v>
      </c>
      <c r="DN10" s="2">
        <f t="shared" si="101"/>
        <v>0.97578502420796087</v>
      </c>
      <c r="DO10" s="2">
        <f t="shared" ref="DO10:EA15" si="119">($CY10*$CX10^DA10)/$J10</f>
        <v>0.87866152048732538</v>
      </c>
      <c r="DP10" s="2">
        <f t="shared" si="119"/>
        <v>0.79120507943003549</v>
      </c>
      <c r="DQ10" s="2">
        <f t="shared" si="119"/>
        <v>0.57768546963782719</v>
      </c>
      <c r="DR10" s="2">
        <f t="shared" si="119"/>
        <v>0.37980552698562237</v>
      </c>
      <c r="DS10" s="2">
        <f t="shared" si="119"/>
        <v>0.27730880391438828</v>
      </c>
      <c r="DT10" s="2">
        <f t="shared" si="119"/>
        <v>0.24970722981705515</v>
      </c>
      <c r="DU10" s="2">
        <f t="shared" si="119"/>
        <v>0.16417270469386303</v>
      </c>
      <c r="DV10" s="2">
        <f t="shared" si="119"/>
        <v>0.10793711093685547</v>
      </c>
      <c r="DW10" s="2">
        <f t="shared" si="119"/>
        <v>7.8808519110905681E-2</v>
      </c>
      <c r="DX10" s="2">
        <f t="shared" si="119"/>
        <v>7.0964414816213683E-2</v>
      </c>
      <c r="DY10" s="2">
        <f t="shared" si="119"/>
        <v>4.6656317984587699E-2</v>
      </c>
      <c r="DZ10" s="2">
        <f t="shared" si="119"/>
        <v>3.0674698206369363E-2</v>
      </c>
      <c r="EA10" s="73">
        <f t="shared" si="119"/>
        <v>2.0167410346497262E-2</v>
      </c>
      <c r="EB10" s="75">
        <f t="array" ref="EB10:EC10">LOGEST(DN10:EA10,CZ10:DM10,TRUE,TRUE)</f>
        <v>0.94892902258218004</v>
      </c>
      <c r="EC10" s="75">
        <v>0.97578502420796065</v>
      </c>
      <c r="ED10" s="2">
        <f t="shared" si="2"/>
        <v>5.242127496885484E-2</v>
      </c>
      <c r="EE10" s="2">
        <f t="shared" si="3"/>
        <v>13.222631097236118</v>
      </c>
      <c r="EF10" s="17">
        <f t="shared" si="4"/>
        <v>18.614294001580578</v>
      </c>
      <c r="EG10" s="79">
        <f t="shared" si="59"/>
        <v>1.8874891430959561E-3</v>
      </c>
      <c r="EH10" s="2">
        <f t="shared" si="60"/>
        <v>6.9408063917267054E-4</v>
      </c>
      <c r="EI10" s="2">
        <f t="shared" si="61"/>
        <v>1.9943304191019965E-4</v>
      </c>
      <c r="EJ10" s="2">
        <f t="shared" si="62"/>
        <v>2.2036013998669164E-5</v>
      </c>
      <c r="EK10" s="2" t="e">
        <f t="shared" si="63"/>
        <v>#VALUE!</v>
      </c>
      <c r="EL10" s="12">
        <f t="shared" si="42"/>
        <v>3.6833333332906477</v>
      </c>
      <c r="EM10" s="12">
        <f t="shared" si="48"/>
        <v>18.066666666534729</v>
      </c>
      <c r="EN10" s="12">
        <f t="shared" si="49"/>
        <v>40.949999999895226</v>
      </c>
      <c r="EO10" s="12">
        <f t="shared" si="50"/>
        <v>88.716666666674428</v>
      </c>
      <c r="EP10" s="12" t="str">
        <f t="shared" si="43"/>
        <v/>
      </c>
      <c r="EQ10" s="35">
        <f t="array" ref="EQ10:ER10">LOGEST(EG10:EJ10, EL10:EO10, TRUE, TRUE)</f>
        <v>0.94991912443036886</v>
      </c>
      <c r="ER10" s="35">
        <v>1.9262387480230444E-3</v>
      </c>
      <c r="ES10" s="53">
        <v>0</v>
      </c>
      <c r="ET10" s="53">
        <v>2</v>
      </c>
      <c r="EU10" s="53">
        <v>4</v>
      </c>
      <c r="EV10" s="53">
        <v>10</v>
      </c>
      <c r="EW10" s="53">
        <v>18</v>
      </c>
      <c r="EX10" s="53">
        <v>24</v>
      </c>
      <c r="EY10" s="53">
        <v>26</v>
      </c>
      <c r="EZ10" s="53">
        <v>34</v>
      </c>
      <c r="FA10" s="53">
        <v>42</v>
      </c>
      <c r="FB10" s="53">
        <v>48</v>
      </c>
      <c r="FC10" s="53">
        <v>50</v>
      </c>
      <c r="FD10" s="53">
        <v>58</v>
      </c>
      <c r="FE10" s="53">
        <v>66</v>
      </c>
      <c r="FF10" s="53">
        <v>72</v>
      </c>
      <c r="FG10" s="53">
        <v>78</v>
      </c>
      <c r="FH10" s="53">
        <v>84</v>
      </c>
      <c r="FI10" s="53">
        <v>90</v>
      </c>
      <c r="FJ10" s="53">
        <v>96</v>
      </c>
      <c r="FK10" s="54">
        <f t="shared" si="103"/>
        <v>4.1401842649685623E-5</v>
      </c>
      <c r="FL10" s="54">
        <f t="shared" ref="FL10:FU15" si="120">($ER10*$EQ10^ET10)/$I10</f>
        <v>3.7358801306689503E-5</v>
      </c>
      <c r="FM10" s="54">
        <f t="shared" si="120"/>
        <v>3.3710577736406689E-5</v>
      </c>
      <c r="FN10" s="54">
        <f t="shared" si="120"/>
        <v>2.4767717373454333E-5</v>
      </c>
      <c r="FO10" s="54">
        <f t="shared" si="120"/>
        <v>1.6420222342130352E-5</v>
      </c>
      <c r="FP10" s="54">
        <f t="shared" si="120"/>
        <v>1.2064208135476334E-5</v>
      </c>
      <c r="FQ10" s="54">
        <f t="shared" si="120"/>
        <v>1.088609409173796E-5</v>
      </c>
      <c r="FR10" s="54">
        <f t="shared" si="120"/>
        <v>7.2171400669838357E-6</v>
      </c>
      <c r="FS10" s="54">
        <f t="shared" si="120"/>
        <v>4.7847382456481926E-6</v>
      </c>
      <c r="FT10" s="54">
        <f t="shared" si="120"/>
        <v>3.5154260926886196E-6</v>
      </c>
      <c r="FU10" s="54">
        <f t="shared" si="120"/>
        <v>3.1721318786786706E-6</v>
      </c>
      <c r="FV10" s="54">
        <f t="shared" ref="FV10:GB15" si="121">($ER10*$EQ10^FD10)/$I10</f>
        <v>2.1030242699026282E-6</v>
      </c>
      <c r="FW10" s="54">
        <f t="shared" si="121"/>
        <v>1.3942393472120501E-6</v>
      </c>
      <c r="FX10" s="54">
        <f t="shared" si="121"/>
        <v>1.0243706403584884E-6</v>
      </c>
      <c r="FY10" s="54">
        <f t="shared" si="121"/>
        <v>7.5262200204486541E-7</v>
      </c>
      <c r="FZ10" s="54">
        <f t="shared" si="121"/>
        <v>5.5296379615467139E-7</v>
      </c>
      <c r="GA10" s="54">
        <f t="shared" si="121"/>
        <v>4.0627161978657856E-7</v>
      </c>
      <c r="GB10" s="77">
        <f t="shared" si="121"/>
        <v>2.9849445875447807E-7</v>
      </c>
      <c r="GC10" s="75">
        <f t="array" ref="GC10:GD10">LOGEST(FK10:GB10, ES10:FJ10, TRUE, TRUE)</f>
        <v>0.94991912443036886</v>
      </c>
      <c r="GD10" s="75">
        <v>4.1401842649685684E-5</v>
      </c>
      <c r="GE10" s="2">
        <f t="shared" si="74"/>
        <v>5.1378430190059228E-2</v>
      </c>
      <c r="GF10" s="2">
        <f t="shared" si="65"/>
        <v>13.491015159393804</v>
      </c>
      <c r="GG10" s="2">
        <f>(GF10*DATA!$B$3)/(DATA!$B$3+GF10)</f>
        <v>12.607894413394041</v>
      </c>
      <c r="GH10" s="17">
        <f t="shared" si="66"/>
        <v>7.53072471889032E-4</v>
      </c>
      <c r="GI10" s="96">
        <f>DATA!$B$6/DW10</f>
        <v>37.559391210415335</v>
      </c>
      <c r="GJ10" s="96"/>
      <c r="GK10" s="2">
        <f t="shared" si="75"/>
        <v>9.2856490303915983E-4</v>
      </c>
      <c r="GL10" s="2">
        <f>GK10*EF10 + GH10*DATA!$B$8</f>
        <v>9.8616407068735548E-2</v>
      </c>
      <c r="GM10" s="96">
        <f>DATA!$B$7/GL10</f>
        <v>20.280600961318758</v>
      </c>
      <c r="GN10" s="96"/>
      <c r="GO10" s="93">
        <f t="shared" si="67"/>
        <v>37.559391210415335</v>
      </c>
      <c r="GP10" s="51">
        <f t="shared" si="68"/>
        <v>1015</v>
      </c>
      <c r="GQ10" s="93">
        <f t="shared" si="36"/>
        <v>20.280600961318758</v>
      </c>
      <c r="GR10" s="51">
        <f t="shared" si="37"/>
        <v>548</v>
      </c>
      <c r="GS10" s="1">
        <v>1.05</v>
      </c>
      <c r="GT10" s="1">
        <v>15.28</v>
      </c>
      <c r="GU10" s="1">
        <v>0.15409999999999999</v>
      </c>
      <c r="GV10" s="57">
        <f t="shared" si="76"/>
        <v>44753.724305555559</v>
      </c>
      <c r="GW10" s="2">
        <f t="shared" si="7"/>
        <v>2.5833333333721384</v>
      </c>
      <c r="GX10" s="1">
        <v>13</v>
      </c>
      <c r="GY10" s="2">
        <f t="shared" si="105"/>
        <v>1.1503465086750002</v>
      </c>
      <c r="GZ10" s="2">
        <f t="shared" si="106"/>
        <v>11.900198676455984</v>
      </c>
      <c r="HA10" s="1">
        <v>0.63200000000000001</v>
      </c>
      <c r="HB10" s="1">
        <v>34.19</v>
      </c>
      <c r="HC10" s="1">
        <v>0.1166</v>
      </c>
      <c r="HD10" s="57">
        <f t="shared" si="9"/>
        <v>44754.329861111109</v>
      </c>
      <c r="HE10" s="2">
        <f t="shared" si="10"/>
        <v>17.116666666581295</v>
      </c>
      <c r="HF10" s="1">
        <v>0.33229999999999998</v>
      </c>
      <c r="HG10" s="1">
        <v>50</v>
      </c>
      <c r="HH10" s="1">
        <v>0.02</v>
      </c>
      <c r="HI10" s="57">
        <f t="shared" si="107"/>
        <v>44755.320833333331</v>
      </c>
      <c r="HJ10" s="2">
        <f t="shared" si="108"/>
        <v>40.899999999906868</v>
      </c>
      <c r="HK10" s="1"/>
      <c r="HL10" s="1"/>
      <c r="HM10" s="1"/>
      <c r="HN10" s="57">
        <f t="shared" ref="HN10:HN21" si="122">AN10</f>
        <v>44757.307638888888</v>
      </c>
      <c r="HO10" s="2">
        <f t="shared" ref="HO10:HO21" si="123">AQ10</f>
        <v>88.583333333255723</v>
      </c>
      <c r="HP10" s="1"/>
      <c r="HQ10" s="1"/>
      <c r="HR10" s="1"/>
      <c r="HS10" s="57">
        <f t="shared" ref="HS10:HS21" si="124">AT10</f>
        <v>0</v>
      </c>
      <c r="HT10" s="2" t="str">
        <f t="shared" ref="HT10:HT21" si="125">AW10</f>
        <v/>
      </c>
      <c r="HU10" s="72">
        <f t="shared" ref="HU10:HU21" si="126">GW10</f>
        <v>2.5833333333721384</v>
      </c>
      <c r="HV10" s="72">
        <f t="shared" ref="HV10:HV21" si="127">HE10</f>
        <v>17.116666666581295</v>
      </c>
      <c r="HW10" s="72">
        <f t="shared" ref="HW10:HW21" si="128">HJ10</f>
        <v>40.899999999906868</v>
      </c>
      <c r="HX10" s="72">
        <f t="shared" ref="HX10:HX21" si="129">HO10</f>
        <v>88.583333333255723</v>
      </c>
      <c r="HY10" s="72" t="str">
        <f t="shared" ref="HY10:HY21" si="130">HT10</f>
        <v/>
      </c>
      <c r="HZ10" s="2">
        <f t="shared" ref="HZ10:HZ21" si="131">(GS10-GU10)*GT10/GY10</f>
        <v>11.900198676455984</v>
      </c>
      <c r="IA10" s="2">
        <f t="shared" ref="IA10:IA21" si="132">(HA10-HC10)*HB10/GY10</f>
        <v>15.318450455677866</v>
      </c>
      <c r="IB10" s="2">
        <f t="shared" ref="IB10:IB21" si="133">(HF10-HH10)*HG10/GY10</f>
        <v>13.574170810485418</v>
      </c>
      <c r="IC10" s="2">
        <f t="shared" ref="IC10:IC21" si="134">(HK10-HM10)*HL10/$GY10</f>
        <v>0</v>
      </c>
      <c r="ID10" s="2">
        <f t="shared" ref="ID10:ID21" si="135">(HP10-HR10)*HQ10/$GY10</f>
        <v>0</v>
      </c>
      <c r="IE10" s="14">
        <f>HZ10*EXP(DATA!$B$4*'Inputs-new'!HU10)</f>
        <v>12.114514513018944</v>
      </c>
      <c r="IF10" s="14">
        <f>IA10*EXP(DATA!$B$4*'Inputs-new'!HV10)</f>
        <v>17.241568780284474</v>
      </c>
      <c r="IG10" s="14">
        <f>IB10*EXP(DATA!$B$4*'Inputs-new'!HW10)</f>
        <v>18.00701999203562</v>
      </c>
      <c r="IH10" s="14">
        <f>IC10*EXP(DATA!$B$4*'Inputs-new'!HX10)</f>
        <v>0</v>
      </c>
      <c r="II10" s="14" t="e">
        <f>ID10*EXP(DATA!$B$4*'Inputs-new'!HY10)</f>
        <v>#VALUE!</v>
      </c>
      <c r="IJ10" s="2" t="e">
        <f t="array" ref="IJ10:IK10">LOGEST(IF10:IH10, HV10:HX10, TRUE, FALSE)</f>
        <v>#NUM!</v>
      </c>
      <c r="IK10" s="2" t="e">
        <v>#NUM!</v>
      </c>
      <c r="IL10" s="2" t="e">
        <f t="shared" ref="IL10:IL21" si="136">IF(IK10="","",-LN(IJ10))</f>
        <v>#NUM!</v>
      </c>
      <c r="IM10" s="2" t="e">
        <f t="shared" ref="IM10:IM21" si="137">LN(2)/IL10</f>
        <v>#NUM!</v>
      </c>
      <c r="IN10" s="2" t="e">
        <f>(IM10*DATA!$B$3)/(DATA!$B$3+'Inputs-new'!IM10)</f>
        <v>#NUM!</v>
      </c>
      <c r="IO10" s="2" t="e">
        <f t="shared" ref="IO10:IO21" si="138">IK10</f>
        <v>#NUM!</v>
      </c>
      <c r="IP10" s="2" t="e">
        <f t="shared" ref="IP10:IP21" si="139">IO10/I10</f>
        <v>#NUM!</v>
      </c>
      <c r="IQ10" s="2" t="e">
        <f t="shared" ref="IQ10:IQ21" si="140">IN10/LN(2)</f>
        <v>#NUM!</v>
      </c>
      <c r="IR10" s="2" t="e">
        <f t="shared" ref="IR10:IR21" si="141">IQ10*IP10/1000</f>
        <v>#NUM!</v>
      </c>
      <c r="IS10" s="2">
        <f t="shared" ref="IS10:IS21" si="142">110.01*(GY10^0.0275)</f>
        <v>110.43454682098408</v>
      </c>
      <c r="IT10" s="63" t="e">
        <f t="shared" ref="IT10:IT21" si="143">IS10*IR10</f>
        <v>#NUM!</v>
      </c>
      <c r="IU10" s="2" t="e">
        <f t="shared" ref="IU10:IU21" si="144">IT10/1000</f>
        <v>#NUM!</v>
      </c>
      <c r="IV10" s="72" t="e">
        <f t="shared" ref="IV10:IV21" si="145">(80/IU10)/1000</f>
        <v>#NUM!</v>
      </c>
    </row>
    <row r="11" spans="1:256" ht="15.75" thickBot="1" x14ac:dyDescent="0.3">
      <c r="A11" s="1">
        <v>10</v>
      </c>
      <c r="B11" s="1"/>
      <c r="C11" s="1" t="s">
        <v>160</v>
      </c>
      <c r="D11" s="46"/>
      <c r="E11" s="1">
        <v>173</v>
      </c>
      <c r="F11" s="1">
        <v>76.2</v>
      </c>
      <c r="G11" s="2">
        <f t="shared" si="69"/>
        <v>88.527000000000001</v>
      </c>
      <c r="H11" s="1"/>
      <c r="I11" s="63">
        <f>Z11*EXP(DATA!$B$4*Y11)</f>
        <v>41.774334904571653</v>
      </c>
      <c r="J11" s="63">
        <f>AA11*EXP(DATA!$B$5*'Inputs-new'!Y11)</f>
        <v>41.774334904571653</v>
      </c>
      <c r="K11" s="1"/>
      <c r="L11" s="11">
        <v>44753.616666666669</v>
      </c>
      <c r="M11" s="48">
        <v>44753.625</v>
      </c>
      <c r="N11" s="1">
        <v>5.07</v>
      </c>
      <c r="O11" s="48">
        <v>44757.347916666666</v>
      </c>
      <c r="P11" s="1">
        <v>200</v>
      </c>
      <c r="Q11" s="1">
        <v>54412.6</v>
      </c>
      <c r="R11" s="1"/>
      <c r="S11" s="2">
        <f t="shared" si="54"/>
        <v>2.5350000000000001E-2</v>
      </c>
      <c r="T11" s="13">
        <f>Q11*EXP((O11-M11)*24*DATA!$B$4)</f>
        <v>100881.5670945731</v>
      </c>
      <c r="U11" s="20">
        <f t="shared" si="55"/>
        <v>3979548.997813534</v>
      </c>
      <c r="V11" s="48">
        <v>44753.684027777781</v>
      </c>
      <c r="W11" s="1">
        <v>189.2</v>
      </c>
      <c r="X11" s="1">
        <v>218342</v>
      </c>
      <c r="Y11" s="19">
        <f t="shared" si="116"/>
        <v>1.6166666666977108</v>
      </c>
      <c r="Z11" s="19">
        <f t="shared" si="0"/>
        <v>41.310306400000002</v>
      </c>
      <c r="AA11" s="17">
        <f>IF(Z11 = "", "", Z11*EXP(Y11*DATA!$B$4)*EXP(-DATA!$B$5*'Inputs-new'!Y11))</f>
        <v>41.531994617570604</v>
      </c>
      <c r="AB11" s="48">
        <v>44754.285416666666</v>
      </c>
      <c r="AC11" s="1">
        <v>61.2</v>
      </c>
      <c r="AD11" s="1">
        <v>215990</v>
      </c>
      <c r="AE11" s="19">
        <f t="shared" si="56"/>
        <v>16.049999999930151</v>
      </c>
      <c r="AF11" s="19">
        <f t="shared" si="17"/>
        <v>13.218588</v>
      </c>
      <c r="AG11" s="17">
        <f>IF(AF11 = "", "", AF11*EXP(AE11*DATA!$B$4)*EXP(-DATA!$B$5*'Inputs-new'!AE11))</f>
        <v>13.939944904357406</v>
      </c>
      <c r="AH11" s="48">
        <v>44755.285416666666</v>
      </c>
      <c r="AI11" s="1">
        <v>6.67</v>
      </c>
      <c r="AJ11" s="1">
        <v>204668</v>
      </c>
      <c r="AK11" s="19">
        <f t="shared" si="18"/>
        <v>40.049999999930151</v>
      </c>
      <c r="AL11" s="19">
        <f t="shared" si="19"/>
        <v>1.3651355600000001</v>
      </c>
      <c r="AM11" s="17">
        <f>IF(AL11 = "", "", AL11*EXP(AK11*DATA!$B$4)*EXP(-DATA!$B$5*'Inputs-new'!AK11))</f>
        <v>1.5586834515823473</v>
      </c>
      <c r="AN11" s="1"/>
      <c r="AO11" s="1"/>
      <c r="AP11" s="1"/>
      <c r="AQ11" s="19" t="str">
        <f t="shared" si="39"/>
        <v/>
      </c>
      <c r="AR11" s="19" t="str">
        <f t="shared" si="91"/>
        <v/>
      </c>
      <c r="AS11" s="17" t="str">
        <f>IF(AR11 = "", "", AR11*EXP(AQ11*DATA!$B$4)*EXP(-DATA!$B$5*'Inputs-new'!AQ11))</f>
        <v/>
      </c>
      <c r="AT11" s="1"/>
      <c r="AU11" s="1"/>
      <c r="AV11" s="1"/>
      <c r="AW11" s="19" t="str">
        <f t="shared" si="117"/>
        <v/>
      </c>
      <c r="AX11" s="19" t="str">
        <f t="shared" si="118"/>
        <v/>
      </c>
      <c r="AY11" s="17" t="str">
        <f>IF(AX11 = "", "", AX11*EXP(AW11*DATA!$B$4)*EXP(-DATA!$B$5*'Inputs-new'!AW11))</f>
        <v/>
      </c>
      <c r="AZ11" s="16">
        <v>44753.729166666664</v>
      </c>
      <c r="BA11" s="16">
        <v>44756.715277777781</v>
      </c>
      <c r="BB11" s="1">
        <v>4672</v>
      </c>
      <c r="BC11" s="63">
        <f t="shared" si="45"/>
        <v>2.6999999998952262</v>
      </c>
      <c r="BD11" s="12">
        <f>IF(BB11 = "", "", BB11*EXP(DATA!$B$4*(BA11-AZ11)*24))</f>
        <v>7665.717980606767</v>
      </c>
      <c r="BE11" s="12">
        <f>IF(BD11 = "", "", BD11*EXP(BC11*DATA!$B$4)*EXP(-BC11*DATA!$B$5))</f>
        <v>7734.545168459008</v>
      </c>
      <c r="BF11" s="14">
        <f t="shared" si="92"/>
        <v>1.9262780744296673E-3</v>
      </c>
      <c r="BG11" s="14">
        <f t="shared" si="92"/>
        <v>1.9435732975542114E-3</v>
      </c>
      <c r="BH11" s="16">
        <v>44754.333333333336</v>
      </c>
      <c r="BI11" s="16">
        <v>44756.715277777781</v>
      </c>
      <c r="BJ11" s="1">
        <v>1810</v>
      </c>
      <c r="BK11" s="63">
        <f t="shared" si="46"/>
        <v>17.200000000011642</v>
      </c>
      <c r="BL11" s="12">
        <f>IF(BJ11 = "", "", BJ11*EXP(DATA!$B$4*(BI11-BH11)*24))</f>
        <v>2686.6955835594604</v>
      </c>
      <c r="BM11" s="12">
        <f>IF(BL11 = "", "", BL11*EXP(BK11*DATA!$B$4)*EXP(-BK11*DATA!$B$5))</f>
        <v>2844.1197095814814</v>
      </c>
      <c r="BN11" s="14">
        <f t="shared" si="93"/>
        <v>6.7512564489986176E-4</v>
      </c>
      <c r="BO11" s="14">
        <f t="shared" si="94"/>
        <v>7.1468392803911021E-4</v>
      </c>
      <c r="BP11" s="16">
        <v>44756.329861111109</v>
      </c>
      <c r="BQ11" s="16">
        <v>44756.715277777781</v>
      </c>
      <c r="BR11" s="1">
        <v>280</v>
      </c>
      <c r="BS11" s="2">
        <f t="shared" si="57"/>
        <v>65.116666666581295</v>
      </c>
      <c r="BT11" s="12">
        <f>IF(BR11 = "", "", BR11*EXP(DATA!$B$4*(BQ11-BP11)*24))</f>
        <v>298.47948403247312</v>
      </c>
      <c r="BU11" s="12">
        <f>IF(BT11 = "", "", BT11*EXP(BS11*DATA!$B$4)*EXP(-BS11*DATA!$B$5))</f>
        <v>370.28523186910962</v>
      </c>
      <c r="BV11" s="14">
        <f t="shared" si="95"/>
        <v>7.5003344398188177E-5</v>
      </c>
      <c r="BW11" s="2">
        <f t="shared" si="95"/>
        <v>9.3047034242461587E-5</v>
      </c>
      <c r="BX11" s="16"/>
      <c r="BY11" s="16"/>
      <c r="BZ11" s="1"/>
      <c r="CA11" s="12" t="str">
        <f t="shared" si="22"/>
        <v/>
      </c>
      <c r="CB11" s="12" t="str">
        <f>IF(BZ11 = "", "", BZ11*EXP(DATA!$B$4*(BY11-BX11)*24))</f>
        <v/>
      </c>
      <c r="CC11" s="12" t="str">
        <f>IF(CB11 = "", "", CB11*EXP(CA11*DATA!$B$4)*EXP(-CA11*DATA!$B$5))</f>
        <v/>
      </c>
      <c r="CD11" s="14" t="e">
        <f t="shared" si="96"/>
        <v>#VALUE!</v>
      </c>
      <c r="CE11" s="60" t="e">
        <f t="shared" si="97"/>
        <v>#VALUE!</v>
      </c>
      <c r="CF11" s="16"/>
      <c r="CG11" s="16"/>
      <c r="CH11" s="1"/>
      <c r="CI11" s="12" t="str">
        <f t="shared" si="23"/>
        <v/>
      </c>
      <c r="CJ11" s="12" t="str">
        <f>IF(CH11 = "", "", CH11*EXP(DATA!$B$4*(CG11-CF11)*24))</f>
        <v/>
      </c>
      <c r="CK11" s="12" t="str">
        <f>IF(CJ11 = "", "", CJ11*EXP(CI11*DATA!$B$4)*EXP(-CI11*DATA!$B$5))</f>
        <v/>
      </c>
      <c r="CL11" s="61" t="e">
        <f t="shared" si="98"/>
        <v>#VALUE!</v>
      </c>
      <c r="CM11" s="62" t="e">
        <f t="shared" si="99"/>
        <v>#VALUE!</v>
      </c>
      <c r="CN11" s="41">
        <f t="shared" si="100"/>
        <v>41.531994617570604</v>
      </c>
      <c r="CO11" s="42">
        <f t="shared" si="25"/>
        <v>13.939944904357406</v>
      </c>
      <c r="CP11" s="42">
        <f t="shared" si="26"/>
        <v>1.5586834515823473</v>
      </c>
      <c r="CQ11" s="42" t="str">
        <f t="shared" si="27"/>
        <v/>
      </c>
      <c r="CR11" s="42" t="str">
        <f t="shared" si="28"/>
        <v/>
      </c>
      <c r="CS11" s="42">
        <f t="shared" si="29"/>
        <v>1.6166666666977108</v>
      </c>
      <c r="CT11" s="42">
        <f t="shared" si="30"/>
        <v>16.049999999930151</v>
      </c>
      <c r="CU11" s="42">
        <f t="shared" si="31"/>
        <v>40.049999999930151</v>
      </c>
      <c r="CV11" s="42" t="str">
        <f t="shared" si="32"/>
        <v/>
      </c>
      <c r="CW11" s="42" t="str">
        <f t="shared" si="33"/>
        <v/>
      </c>
      <c r="CX11" s="75">
        <f t="array" ref="CX11:CY11">LOGEST(CN11:CP11,CS11:CU11,TRUE,TRUE)</f>
        <v>0.9175873116494665</v>
      </c>
      <c r="CY11" s="75">
        <v>50.554108213084021</v>
      </c>
      <c r="CZ11" s="76">
        <v>0</v>
      </c>
      <c r="DA11" s="2">
        <v>2</v>
      </c>
      <c r="DB11" s="2">
        <v>4</v>
      </c>
      <c r="DC11" s="2">
        <v>10</v>
      </c>
      <c r="DD11" s="2">
        <v>18</v>
      </c>
      <c r="DE11" s="2">
        <v>24</v>
      </c>
      <c r="DF11" s="2">
        <v>26</v>
      </c>
      <c r="DG11" s="2">
        <v>34</v>
      </c>
      <c r="DH11" s="2">
        <v>42</v>
      </c>
      <c r="DI11" s="2">
        <v>48</v>
      </c>
      <c r="DJ11" s="2">
        <v>50</v>
      </c>
      <c r="DK11" s="2">
        <v>58</v>
      </c>
      <c r="DL11" s="2">
        <v>66</v>
      </c>
      <c r="DM11" s="2">
        <v>74</v>
      </c>
      <c r="DN11" s="2">
        <f>($CY11*$CX11^CZ11)/$J11</f>
        <v>1.2101714684044327</v>
      </c>
      <c r="DO11" s="2">
        <f t="shared" si="119"/>
        <v>1.0189238047930835</v>
      </c>
      <c r="DP11" s="2">
        <f t="shared" si="119"/>
        <v>0.85789968370585568</v>
      </c>
      <c r="DQ11" s="2">
        <f t="shared" si="119"/>
        <v>0.51206006252200309</v>
      </c>
      <c r="DR11" s="2">
        <f t="shared" si="119"/>
        <v>0.2573357363883404</v>
      </c>
      <c r="DS11" s="2">
        <f t="shared" si="119"/>
        <v>0.15359762425246348</v>
      </c>
      <c r="DT11" s="2">
        <f t="shared" si="119"/>
        <v>0.12932405018343698</v>
      </c>
      <c r="DU11" s="2">
        <f t="shared" si="119"/>
        <v>6.4991789288873544E-2</v>
      </c>
      <c r="DV11" s="2">
        <f t="shared" si="119"/>
        <v>3.2661617610784614E-2</v>
      </c>
      <c r="DW11" s="2">
        <f t="shared" si="119"/>
        <v>1.9494948271344105E-2</v>
      </c>
      <c r="DX11" s="2">
        <f t="shared" si="119"/>
        <v>1.6414092866585323E-2</v>
      </c>
      <c r="DY11" s="2">
        <f t="shared" si="119"/>
        <v>8.2489008304330261E-3</v>
      </c>
      <c r="DZ11" s="2">
        <f t="shared" si="119"/>
        <v>4.1454843385733903E-3</v>
      </c>
      <c r="EA11" s="73">
        <f t="shared" si="119"/>
        <v>2.0833127654966773E-3</v>
      </c>
      <c r="EB11" s="75">
        <f t="array" ref="EB11:EC11">LOGEST(DN11:EA11,CZ11:DM11,TRUE,TRUE)</f>
        <v>0.9175873116494665</v>
      </c>
      <c r="EC11" s="75">
        <v>1.2101714684044322</v>
      </c>
      <c r="ED11" s="2">
        <f t="shared" si="2"/>
        <v>8.6007541020354517E-2</v>
      </c>
      <c r="EE11" s="2">
        <f t="shared" si="3"/>
        <v>8.0591442603376517</v>
      </c>
      <c r="EF11" s="17">
        <f t="shared" si="4"/>
        <v>14.07052746826041</v>
      </c>
      <c r="EG11" s="2">
        <f t="shared" si="59"/>
        <v>1.9435732975542114E-3</v>
      </c>
      <c r="EH11" s="2">
        <f t="shared" si="60"/>
        <v>7.1468392803911021E-4</v>
      </c>
      <c r="EI11" s="2">
        <f t="shared" si="61"/>
        <v>9.3047034242461587E-5</v>
      </c>
      <c r="EJ11" s="2" t="e">
        <f t="shared" si="62"/>
        <v>#VALUE!</v>
      </c>
      <c r="EK11" s="2" t="e">
        <f t="shared" si="63"/>
        <v>#VALUE!</v>
      </c>
      <c r="EL11" s="12">
        <f t="shared" si="42"/>
        <v>2.6999999998952262</v>
      </c>
      <c r="EM11" s="12">
        <f t="shared" si="48"/>
        <v>17.200000000011642</v>
      </c>
      <c r="EN11" s="12">
        <f t="shared" si="49"/>
        <v>65.116666666581295</v>
      </c>
      <c r="EO11" s="12" t="str">
        <f t="shared" si="50"/>
        <v/>
      </c>
      <c r="EP11" s="12" t="str">
        <f t="shared" si="43"/>
        <v/>
      </c>
      <c r="EQ11" s="35">
        <f t="array" ref="EQ11:ER11">LOGEST(EG11:EI11, EL11:EN11, TRUE, TRUE)</f>
        <v>0.9539394791593323</v>
      </c>
      <c r="ER11" s="35">
        <v>1.9238134536504053E-3</v>
      </c>
      <c r="ES11" s="53">
        <v>0</v>
      </c>
      <c r="ET11" s="53">
        <v>2</v>
      </c>
      <c r="EU11" s="53">
        <v>4</v>
      </c>
      <c r="EV11" s="53">
        <v>10</v>
      </c>
      <c r="EW11" s="53">
        <v>18</v>
      </c>
      <c r="EX11" s="53">
        <v>24</v>
      </c>
      <c r="EY11" s="53">
        <v>26</v>
      </c>
      <c r="EZ11" s="53">
        <v>34</v>
      </c>
      <c r="FA11" s="53">
        <v>42</v>
      </c>
      <c r="FB11" s="53">
        <v>48</v>
      </c>
      <c r="FC11" s="53">
        <v>50</v>
      </c>
      <c r="FD11" s="53">
        <v>58</v>
      </c>
      <c r="FE11" s="53">
        <v>66</v>
      </c>
      <c r="FF11" s="53">
        <v>72</v>
      </c>
      <c r="FG11" s="53">
        <v>78</v>
      </c>
      <c r="FH11" s="53">
        <v>84</v>
      </c>
      <c r="FI11" s="53">
        <v>90</v>
      </c>
      <c r="FJ11" s="53">
        <v>96</v>
      </c>
      <c r="FK11" s="54">
        <f t="shared" si="103"/>
        <v>4.6052521435592484E-5</v>
      </c>
      <c r="FL11" s="54">
        <f t="shared" si="120"/>
        <v>4.1907818909564004E-5</v>
      </c>
      <c r="FM11" s="54">
        <f t="shared" si="120"/>
        <v>3.8136137414605284E-5</v>
      </c>
      <c r="FN11" s="54">
        <f t="shared" si="120"/>
        <v>2.8738337411152117E-5</v>
      </c>
      <c r="FO11" s="54">
        <f t="shared" si="120"/>
        <v>1.9707349574538322E-5</v>
      </c>
      <c r="FP11" s="54">
        <f t="shared" si="120"/>
        <v>1.4850913069547142E-5</v>
      </c>
      <c r="FQ11" s="54">
        <f t="shared" si="120"/>
        <v>1.3514338762768591E-5</v>
      </c>
      <c r="FR11" s="54">
        <f t="shared" si="120"/>
        <v>9.2674741219811278E-6</v>
      </c>
      <c r="FS11" s="54">
        <f t="shared" si="120"/>
        <v>6.3551815674624236E-6</v>
      </c>
      <c r="FT11" s="54">
        <f t="shared" si="120"/>
        <v>4.7890888951151013E-6</v>
      </c>
      <c r="FU11" s="54">
        <f t="shared" si="120"/>
        <v>4.3580734322870968E-6</v>
      </c>
      <c r="FV11" s="54">
        <f t="shared" si="121"/>
        <v>2.9885541175482611E-6</v>
      </c>
      <c r="FW11" s="54">
        <f t="shared" si="121"/>
        <v>2.0494045940908982E-6</v>
      </c>
      <c r="FX11" s="54">
        <f t="shared" si="121"/>
        <v>1.5443745672678809E-6</v>
      </c>
      <c r="FY11" s="54">
        <f t="shared" si="121"/>
        <v>1.1637979200890126E-6</v>
      </c>
      <c r="FZ11" s="54">
        <f t="shared" si="121"/>
        <v>8.7700589449591632E-7</v>
      </c>
      <c r="GA11" s="54">
        <f t="shared" si="121"/>
        <v>6.6088736343656216E-7</v>
      </c>
      <c r="GB11" s="77">
        <f t="shared" si="121"/>
        <v>4.9802642136308285E-7</v>
      </c>
      <c r="GC11" s="75">
        <f t="array" ref="GC11:GD11">LOGEST(FK11:GB11, ES11:FJ11, TRUE, TRUE)</f>
        <v>0.9539394791593323</v>
      </c>
      <c r="GD11" s="75">
        <v>4.6052521435592389E-5</v>
      </c>
      <c r="GE11" s="2">
        <f t="shared" si="74"/>
        <v>4.7155048582530577E-2</v>
      </c>
      <c r="GF11" s="2">
        <f t="shared" si="65"/>
        <v>14.699320675002632</v>
      </c>
      <c r="GG11" s="2">
        <f>(GF11*DATA!$B$3)/(DATA!$B$3+GF11)</f>
        <v>13.657035419875937</v>
      </c>
      <c r="GH11" s="17">
        <f t="shared" si="66"/>
        <v>9.0736994113198809E-4</v>
      </c>
      <c r="GI11" s="96">
        <f>DATA!$B$6/DW11</f>
        <v>151.83420642110372</v>
      </c>
      <c r="GJ11" s="96"/>
      <c r="GK11" s="2">
        <f t="shared" si="75"/>
        <v>1.0459747523731281E-3</v>
      </c>
      <c r="GL11" s="2">
        <f>GK11*EF11 + GH11*DATA!$B$8</f>
        <v>0.1127133701266277</v>
      </c>
      <c r="GM11" s="96">
        <f>DATA!$B$7/GL11</f>
        <v>17.744123858182064</v>
      </c>
      <c r="GN11" s="96"/>
      <c r="GO11" s="93">
        <f t="shared" si="67"/>
        <v>151.83420642110372</v>
      </c>
      <c r="GP11" s="51">
        <f t="shared" si="68"/>
        <v>4103</v>
      </c>
      <c r="GQ11" s="93">
        <f t="shared" si="36"/>
        <v>17.744123858182064</v>
      </c>
      <c r="GR11" s="51">
        <f t="shared" si="37"/>
        <v>479</v>
      </c>
      <c r="GS11" s="1"/>
      <c r="GT11" s="1"/>
      <c r="GU11" s="1"/>
      <c r="GV11" s="57">
        <f t="shared" si="76"/>
        <v>44753.684027777781</v>
      </c>
      <c r="GW11" s="2">
        <f t="shared" si="7"/>
        <v>1.6166666666977108</v>
      </c>
      <c r="GX11" s="1"/>
      <c r="GY11" s="2" t="str">
        <f t="shared" si="105"/>
        <v/>
      </c>
      <c r="GZ11" s="2" t="str">
        <f t="shared" si="106"/>
        <v/>
      </c>
      <c r="HA11" s="1"/>
      <c r="HB11" s="1"/>
      <c r="HC11" s="1"/>
      <c r="HD11" s="57">
        <f t="shared" si="9"/>
        <v>44754.285416666666</v>
      </c>
      <c r="HE11" s="2">
        <f t="shared" si="10"/>
        <v>16.049999999930151</v>
      </c>
      <c r="HF11" s="1"/>
      <c r="HG11" s="1"/>
      <c r="HH11" s="1"/>
      <c r="HI11" s="57">
        <f t="shared" si="107"/>
        <v>44755.285416666666</v>
      </c>
      <c r="HJ11" s="2">
        <f t="shared" si="108"/>
        <v>40.049999999930151</v>
      </c>
      <c r="HK11" s="1"/>
      <c r="HL11" s="1"/>
      <c r="HM11" s="1"/>
      <c r="HN11" s="57">
        <f t="shared" si="122"/>
        <v>0</v>
      </c>
      <c r="HO11" s="2" t="str">
        <f t="shared" si="123"/>
        <v/>
      </c>
      <c r="HP11" s="1"/>
      <c r="HQ11" s="1"/>
      <c r="HR11" s="1"/>
      <c r="HS11" s="57">
        <f t="shared" si="124"/>
        <v>0</v>
      </c>
      <c r="HT11" s="2" t="str">
        <f t="shared" si="125"/>
        <v/>
      </c>
      <c r="HU11" s="72">
        <f t="shared" si="126"/>
        <v>1.6166666666977108</v>
      </c>
      <c r="HV11" s="72">
        <f t="shared" si="127"/>
        <v>16.049999999930151</v>
      </c>
      <c r="HW11" s="72">
        <f t="shared" si="128"/>
        <v>40.049999999930151</v>
      </c>
      <c r="HX11" s="72" t="str">
        <f t="shared" si="129"/>
        <v/>
      </c>
      <c r="HY11" s="72" t="str">
        <f t="shared" si="130"/>
        <v/>
      </c>
      <c r="HZ11" s="2" t="e">
        <f t="shared" si="131"/>
        <v>#VALUE!</v>
      </c>
      <c r="IA11" s="2" t="e">
        <f t="shared" si="132"/>
        <v>#VALUE!</v>
      </c>
      <c r="IB11" s="2" t="e">
        <f t="shared" si="133"/>
        <v>#VALUE!</v>
      </c>
      <c r="IC11" s="2" t="e">
        <f t="shared" si="134"/>
        <v>#VALUE!</v>
      </c>
      <c r="ID11" s="2" t="e">
        <f t="shared" si="135"/>
        <v>#VALUE!</v>
      </c>
      <c r="IE11" s="14" t="e">
        <f>HZ11*EXP(DATA!$B$4*'Inputs-new'!HU11)</f>
        <v>#VALUE!</v>
      </c>
      <c r="IF11" s="14" t="e">
        <f>IA11*EXP(DATA!$B$4*'Inputs-new'!HV11)</f>
        <v>#VALUE!</v>
      </c>
      <c r="IG11" s="14" t="e">
        <f>IB11*EXP(DATA!$B$4*'Inputs-new'!HW11)</f>
        <v>#VALUE!</v>
      </c>
      <c r="IH11" s="14" t="e">
        <f>IC11*EXP(DATA!$B$4*'Inputs-new'!HX11)</f>
        <v>#VALUE!</v>
      </c>
      <c r="II11" s="14" t="e">
        <f>ID11*EXP(DATA!$B$4*'Inputs-new'!HY11)</f>
        <v>#VALUE!</v>
      </c>
      <c r="IJ11" s="2" t="e">
        <f t="array" ref="IJ11:IK11">LOGEST(IF11:IH11, HV11:HX11, TRUE, FALSE)</f>
        <v>#VALUE!</v>
      </c>
      <c r="IK11" s="2" t="e">
        <v>#VALUE!</v>
      </c>
      <c r="IL11" s="2" t="e">
        <f t="shared" si="136"/>
        <v>#VALUE!</v>
      </c>
      <c r="IM11" s="2" t="e">
        <f t="shared" si="137"/>
        <v>#VALUE!</v>
      </c>
      <c r="IN11" s="2" t="e">
        <f>(IM11*DATA!$B$3)/(DATA!$B$3+'Inputs-new'!IM11)</f>
        <v>#VALUE!</v>
      </c>
      <c r="IO11" s="2" t="e">
        <f t="shared" si="138"/>
        <v>#VALUE!</v>
      </c>
      <c r="IP11" s="2" t="e">
        <f t="shared" si="139"/>
        <v>#VALUE!</v>
      </c>
      <c r="IQ11" s="2" t="e">
        <f t="shared" si="140"/>
        <v>#VALUE!</v>
      </c>
      <c r="IR11" s="2" t="e">
        <f t="shared" si="141"/>
        <v>#VALUE!</v>
      </c>
      <c r="IS11" s="2" t="e">
        <f t="shared" si="142"/>
        <v>#VALUE!</v>
      </c>
      <c r="IT11" s="63" t="e">
        <f t="shared" si="143"/>
        <v>#VALUE!</v>
      </c>
      <c r="IU11" s="2" t="e">
        <f t="shared" si="144"/>
        <v>#VALUE!</v>
      </c>
      <c r="IV11" s="72" t="e">
        <f t="shared" si="145"/>
        <v>#VALUE!</v>
      </c>
    </row>
    <row r="12" spans="1:256" ht="15.75" thickBot="1" x14ac:dyDescent="0.3">
      <c r="A12" s="5">
        <v>11</v>
      </c>
      <c r="B12" s="1"/>
      <c r="C12" s="1" t="s">
        <v>159</v>
      </c>
      <c r="D12" s="46"/>
      <c r="E12" s="1">
        <v>161</v>
      </c>
      <c r="F12" s="1">
        <v>65</v>
      </c>
      <c r="G12" s="2">
        <f t="shared" si="69"/>
        <v>78.828000000000003</v>
      </c>
      <c r="H12" s="1">
        <v>53.6</v>
      </c>
      <c r="I12" s="63">
        <f>Z12*EXP(DATA!$B$4*Y12)</f>
        <v>51.347205045054544</v>
      </c>
      <c r="J12" s="63">
        <f>AA12*EXP(DATA!$B$5*'Inputs-new'!Y12)</f>
        <v>51.347205045054544</v>
      </c>
      <c r="K12" s="1"/>
      <c r="L12" s="48">
        <v>45054.601388888892</v>
      </c>
      <c r="M12" s="48">
        <v>45057.324999999997</v>
      </c>
      <c r="N12" s="1">
        <v>7.26</v>
      </c>
      <c r="O12" s="48">
        <v>45057.681250000001</v>
      </c>
      <c r="P12" s="1">
        <v>200</v>
      </c>
      <c r="Q12" s="1">
        <v>181422.28750000001</v>
      </c>
      <c r="R12" s="1"/>
      <c r="S12" s="2">
        <f t="shared" si="54"/>
        <v>3.6299999999999999E-2</v>
      </c>
      <c r="T12" s="13">
        <f>Q12*EXP((O12-M12)*24*DATA!$B$4)</f>
        <v>192462.71328958721</v>
      </c>
      <c r="U12" s="20">
        <f t="shared" si="55"/>
        <v>5302003.1209252672</v>
      </c>
      <c r="V12" s="80">
        <v>45054.665277777778</v>
      </c>
      <c r="W12" s="1">
        <v>186</v>
      </c>
      <c r="X12" s="1">
        <v>273151</v>
      </c>
      <c r="Y12" s="19">
        <f t="shared" si="116"/>
        <v>1.5333333332673647</v>
      </c>
      <c r="Z12" s="19">
        <f t="shared" si="0"/>
        <v>50.806086000000001</v>
      </c>
      <c r="AA12" s="17">
        <f>IF(Z12 = "", "", Z12*EXP(Y12*DATA!$B$4)*EXP(-DATA!$B$5*'Inputs-new'!Y12))</f>
        <v>51.064642862366227</v>
      </c>
      <c r="AB12" s="48">
        <v>45055.313194444447</v>
      </c>
      <c r="AC12" s="1">
        <v>86.5</v>
      </c>
      <c r="AD12" s="1">
        <v>280330.87</v>
      </c>
      <c r="AE12" s="19">
        <f t="shared" si="56"/>
        <v>17.083333333313931</v>
      </c>
      <c r="AF12" s="19">
        <f t="shared" si="17"/>
        <v>24.248620254999999</v>
      </c>
      <c r="AG12" s="17">
        <f>IF(AF12 = "", "", AF12*EXP(AE12*DATA!$B$4)*EXP(-DATA!$B$5*'Inputs-new'!AE12))</f>
        <v>25.65953043681947</v>
      </c>
      <c r="AH12" s="48">
        <v>45056.303472222222</v>
      </c>
      <c r="AI12" s="1">
        <v>55.1</v>
      </c>
      <c r="AJ12" s="1">
        <v>223941.78</v>
      </c>
      <c r="AK12" s="19">
        <f t="shared" si="18"/>
        <v>40.849999999918509</v>
      </c>
      <c r="AL12" s="19">
        <f t="shared" si="19"/>
        <v>12.339192078</v>
      </c>
      <c r="AM12" s="17">
        <f>IF(AL12 = "", "", AL12*EXP(AK12*DATA!$B$4)*EXP(-DATA!$B$5*'Inputs-new'!AK12))</f>
        <v>14.125995866044589</v>
      </c>
      <c r="AN12" s="1"/>
      <c r="AO12" s="1"/>
      <c r="AP12" s="1"/>
      <c r="AQ12" s="19" t="str">
        <f t="shared" si="39"/>
        <v/>
      </c>
      <c r="AR12" s="19" t="str">
        <f t="shared" si="91"/>
        <v/>
      </c>
      <c r="AS12" s="17" t="str">
        <f>IF(AR12 = "", "", AR12*EXP(AQ12*DATA!$B$4)*EXP(-DATA!$B$5*'Inputs-new'!AQ12))</f>
        <v/>
      </c>
      <c r="AT12" s="1"/>
      <c r="AU12" s="1"/>
      <c r="AV12" s="1"/>
      <c r="AW12" s="19" t="str">
        <f t="shared" si="117"/>
        <v/>
      </c>
      <c r="AX12" s="19" t="str">
        <f t="shared" si="118"/>
        <v/>
      </c>
      <c r="AY12" s="17" t="str">
        <f>IF(AX12 = "", "", AX12*EXP(AW12*DATA!$B$4)*EXP(-DATA!$B$5*'Inputs-new'!AW12))</f>
        <v/>
      </c>
      <c r="AZ12" s="80">
        <v>45054.704861111109</v>
      </c>
      <c r="BA12" s="80">
        <v>45057.698611111111</v>
      </c>
      <c r="BB12" s="1">
        <v>6262.7929999999997</v>
      </c>
      <c r="BC12" s="63">
        <f t="shared" si="45"/>
        <v>2.4833333332207985</v>
      </c>
      <c r="BD12" s="12">
        <f>IF(BB12 = "", "", BB12*EXP(DATA!$B$4*(BA12-AZ12)*24))</f>
        <v>10288.882058965233</v>
      </c>
      <c r="BE12" s="12">
        <f>IF(BD12 = "", "", BD12*EXP(BC12*DATA!$B$4)*EXP(-BC12*DATA!$B$5))</f>
        <v>10373.817833394805</v>
      </c>
      <c r="BF12" s="14">
        <f t="shared" si="92"/>
        <v>1.9405650702766261E-3</v>
      </c>
      <c r="BG12" s="14">
        <f t="shared" si="92"/>
        <v>1.9565846335421323E-3</v>
      </c>
      <c r="BH12" s="16">
        <v>45055.399305555555</v>
      </c>
      <c r="BI12" s="16">
        <v>45057.70416666667</v>
      </c>
      <c r="BJ12" s="1">
        <v>4229.2449999999999</v>
      </c>
      <c r="BK12" s="63">
        <f t="shared" si="46"/>
        <v>19.149999999906868</v>
      </c>
      <c r="BL12" s="12">
        <f>IF(BJ12 = "", "", BJ12*EXP(DATA!$B$4*(BI12-BH12)*24))</f>
        <v>6197.9981218381281</v>
      </c>
      <c r="BM12" s="12">
        <f>IF(BL12 = "", "", BL12*EXP(BK12*DATA!$B$4)*EXP(-BK12*DATA!$B$5))</f>
        <v>6603.6565191761874</v>
      </c>
      <c r="BN12" s="14">
        <f t="shared" si="93"/>
        <v>1.1689917905511338E-3</v>
      </c>
      <c r="BO12" s="14">
        <f t="shared" si="94"/>
        <v>1.245502193899834E-3</v>
      </c>
      <c r="BP12" s="16">
        <v>45056.348611111112</v>
      </c>
      <c r="BQ12" s="16">
        <v>45057.710416666669</v>
      </c>
      <c r="BR12" s="1">
        <v>1695.963</v>
      </c>
      <c r="BS12" s="2">
        <f t="shared" si="57"/>
        <v>41.933333333290648</v>
      </c>
      <c r="BT12" s="12">
        <f>IF(BR12 = "", "", BR12*EXP(DATA!$B$4*(BQ12-BP12)*24))</f>
        <v>2125.6373726685715</v>
      </c>
      <c r="BU12" s="12">
        <f>IF(BT12 = "", "", BT12*EXP(BS12*DATA!$B$4)*EXP(-BS12*DATA!$B$5))</f>
        <v>2442.1880212780788</v>
      </c>
      <c r="BV12" s="14">
        <f t="shared" si="95"/>
        <v>4.0091213154503394E-4</v>
      </c>
      <c r="BW12" s="2">
        <f t="shared" si="95"/>
        <v>4.6061610406066407E-4</v>
      </c>
      <c r="BX12" s="16"/>
      <c r="BY12" s="16"/>
      <c r="BZ12" s="1"/>
      <c r="CA12" s="12" t="str">
        <f t="shared" si="22"/>
        <v/>
      </c>
      <c r="CB12" s="12" t="str">
        <f>IF(BZ12 = "", "", BZ12*EXP(DATA!$B$4*(BY12-BX12)*24))</f>
        <v/>
      </c>
      <c r="CC12" s="12" t="str">
        <f>IF(CB12 = "", "", CB12*EXP(CA12*DATA!$B$4)*EXP(-CA12*DATA!$B$5))</f>
        <v/>
      </c>
      <c r="CD12" s="14" t="e">
        <f t="shared" si="96"/>
        <v>#VALUE!</v>
      </c>
      <c r="CE12" s="60" t="e">
        <f t="shared" si="97"/>
        <v>#VALUE!</v>
      </c>
      <c r="CF12" s="16"/>
      <c r="CG12" s="16"/>
      <c r="CH12" s="1"/>
      <c r="CI12" s="12" t="str">
        <f t="shared" si="23"/>
        <v/>
      </c>
      <c r="CJ12" s="12" t="str">
        <f>IF(CH12 = "", "", CH12*EXP(DATA!$B$4*(CG12-CF12)*24))</f>
        <v/>
      </c>
      <c r="CK12" s="12" t="str">
        <f>IF(CJ12 = "", "", CJ12*EXP(CI12*DATA!$B$4)*EXP(-CI12*DATA!$B$5))</f>
        <v/>
      </c>
      <c r="CL12" s="61" t="e">
        <f t="shared" si="98"/>
        <v>#VALUE!</v>
      </c>
      <c r="CM12" s="62" t="e">
        <f t="shared" si="99"/>
        <v>#VALUE!</v>
      </c>
      <c r="CN12" s="41">
        <f t="shared" si="100"/>
        <v>51.064642862366227</v>
      </c>
      <c r="CO12" s="42">
        <f t="shared" si="25"/>
        <v>25.65953043681947</v>
      </c>
      <c r="CP12" s="42">
        <f t="shared" si="26"/>
        <v>14.125995866044589</v>
      </c>
      <c r="CQ12" s="42" t="str">
        <f t="shared" si="27"/>
        <v/>
      </c>
      <c r="CR12" s="42" t="str">
        <f t="shared" si="28"/>
        <v/>
      </c>
      <c r="CS12" s="42">
        <f t="shared" si="29"/>
        <v>1.5333333332673647</v>
      </c>
      <c r="CT12" s="42">
        <f t="shared" si="30"/>
        <v>17.083333333313931</v>
      </c>
      <c r="CU12" s="42">
        <f t="shared" si="31"/>
        <v>40.849999999918509</v>
      </c>
      <c r="CV12" s="42" t="str">
        <f t="shared" si="32"/>
        <v/>
      </c>
      <c r="CW12" s="42" t="str">
        <f t="shared" si="33"/>
        <v/>
      </c>
      <c r="CX12" s="75">
        <f t="array" ref="CX12:CY12">LOGEST(CN12:CP12,CS12:CU12,TRUE,TRUE)</f>
        <v>0.96845154123765842</v>
      </c>
      <c r="CY12" s="75">
        <v>49.937840611728568</v>
      </c>
      <c r="CZ12" s="76">
        <v>0</v>
      </c>
      <c r="DA12" s="2">
        <v>2</v>
      </c>
      <c r="DB12" s="2">
        <v>4</v>
      </c>
      <c r="DC12" s="2">
        <v>10</v>
      </c>
      <c r="DD12" s="2">
        <v>18</v>
      </c>
      <c r="DE12" s="2">
        <v>24</v>
      </c>
      <c r="DF12" s="2">
        <v>26</v>
      </c>
      <c r="DG12" s="2">
        <v>34</v>
      </c>
      <c r="DH12" s="2">
        <v>42</v>
      </c>
      <c r="DI12" s="2">
        <v>48</v>
      </c>
      <c r="DJ12" s="2">
        <v>50</v>
      </c>
      <c r="DK12" s="2">
        <v>58</v>
      </c>
      <c r="DL12" s="2">
        <v>66</v>
      </c>
      <c r="DM12" s="2">
        <v>74</v>
      </c>
      <c r="DN12" s="2">
        <f t="shared" si="101"/>
        <v>0.97255226585187393</v>
      </c>
      <c r="DO12" s="2">
        <f t="shared" si="119"/>
        <v>0.91215520212134782</v>
      </c>
      <c r="DP12" s="2">
        <f t="shared" si="119"/>
        <v>0.85550889342512704</v>
      </c>
      <c r="DQ12" s="2">
        <f t="shared" si="119"/>
        <v>0.70581664588276949</v>
      </c>
      <c r="DR12" s="2">
        <f t="shared" si="119"/>
        <v>0.54615391815627456</v>
      </c>
      <c r="DS12" s="2">
        <f t="shared" si="119"/>
        <v>0.45059090514589878</v>
      </c>
      <c r="DT12" s="2">
        <f t="shared" si="119"/>
        <v>0.42260848346015545</v>
      </c>
      <c r="DU12" s="2">
        <f t="shared" si="119"/>
        <v>0.32701025179020882</v>
      </c>
      <c r="DV12" s="2">
        <f t="shared" si="119"/>
        <v>0.25303728855688701</v>
      </c>
      <c r="DW12" s="2">
        <f t="shared" si="119"/>
        <v>0.20876221353755345</v>
      </c>
      <c r="DX12" s="2">
        <f t="shared" si="119"/>
        <v>0.19579774349489795</v>
      </c>
      <c r="DY12" s="2">
        <f t="shared" si="119"/>
        <v>0.15150635140114982</v>
      </c>
      <c r="DZ12" s="2">
        <f t="shared" si="119"/>
        <v>0.11723411161521793</v>
      </c>
      <c r="EA12" s="73">
        <f t="shared" si="119"/>
        <v>9.0714592484768097E-2</v>
      </c>
      <c r="EB12" s="75">
        <f t="array" ref="EB12:EC12">LOGEST(DN12:EA12,CZ12:DM12,TRUE,TRUE)</f>
        <v>0.96845154123765842</v>
      </c>
      <c r="EC12" s="75">
        <v>0.97255226585187371</v>
      </c>
      <c r="ED12" s="2">
        <f t="shared" si="2"/>
        <v>3.2056832247317507E-2</v>
      </c>
      <c r="EE12" s="2">
        <f t="shared" si="3"/>
        <v>21.622447758166977</v>
      </c>
      <c r="EF12" s="17">
        <f t="shared" si="4"/>
        <v>30.338377115638309</v>
      </c>
      <c r="EG12" s="2">
        <f t="shared" si="59"/>
        <v>1.9565846335421323E-3</v>
      </c>
      <c r="EH12" s="2">
        <f t="shared" si="60"/>
        <v>1.245502193899834E-3</v>
      </c>
      <c r="EI12" s="2">
        <f t="shared" si="61"/>
        <v>4.6061610406066407E-4</v>
      </c>
      <c r="EJ12" s="2" t="e">
        <f t="shared" si="62"/>
        <v>#VALUE!</v>
      </c>
      <c r="EK12" s="2" t="e">
        <f t="shared" si="63"/>
        <v>#VALUE!</v>
      </c>
      <c r="EL12" s="12">
        <f t="shared" si="42"/>
        <v>2.4833333332207985</v>
      </c>
      <c r="EM12" s="12">
        <f t="shared" si="48"/>
        <v>19.149999999906868</v>
      </c>
      <c r="EN12" s="12">
        <f t="shared" si="49"/>
        <v>41.933333333290648</v>
      </c>
      <c r="EO12" s="12" t="str">
        <f t="shared" si="50"/>
        <v/>
      </c>
      <c r="EP12" s="12" t="str">
        <f t="shared" si="43"/>
        <v/>
      </c>
      <c r="EQ12" s="35">
        <f t="array" ref="EQ12:ER12">LOGEST(EG12:EI12, EL12:EN12, TRUE, TRUE)</f>
        <v>0.96360073934919399</v>
      </c>
      <c r="ER12" s="35">
        <v>2.2799716997246523E-3</v>
      </c>
      <c r="ES12" s="53">
        <v>0</v>
      </c>
      <c r="ET12" s="53">
        <v>2</v>
      </c>
      <c r="EU12" s="53">
        <v>4</v>
      </c>
      <c r="EV12" s="53">
        <v>10</v>
      </c>
      <c r="EW12" s="53">
        <v>18</v>
      </c>
      <c r="EX12" s="53">
        <v>24</v>
      </c>
      <c r="EY12" s="53">
        <v>26</v>
      </c>
      <c r="EZ12" s="53">
        <v>34</v>
      </c>
      <c r="FA12" s="53">
        <v>42</v>
      </c>
      <c r="FB12" s="53">
        <v>48</v>
      </c>
      <c r="FC12" s="53">
        <v>50</v>
      </c>
      <c r="FD12" s="53">
        <v>58</v>
      </c>
      <c r="FE12" s="53">
        <v>66</v>
      </c>
      <c r="FF12" s="53">
        <v>72</v>
      </c>
      <c r="FG12" s="53">
        <v>78</v>
      </c>
      <c r="FH12" s="53">
        <v>84</v>
      </c>
      <c r="FI12" s="53">
        <v>90</v>
      </c>
      <c r="FJ12" s="53">
        <v>96</v>
      </c>
      <c r="FK12" s="54">
        <f t="shared" si="103"/>
        <v>4.4403034161724944E-5</v>
      </c>
      <c r="FL12" s="54">
        <f t="shared" si="120"/>
        <v>4.1229388787637095E-5</v>
      </c>
      <c r="FM12" s="54">
        <f t="shared" si="120"/>
        <v>3.8282575321562218E-5</v>
      </c>
      <c r="FN12" s="54">
        <f t="shared" si="120"/>
        <v>3.0646712413996161E-5</v>
      </c>
      <c r="FO12" s="54">
        <f t="shared" si="120"/>
        <v>2.2780376071638927E-5</v>
      </c>
      <c r="FP12" s="54">
        <f t="shared" si="120"/>
        <v>1.8236590101005467E-5</v>
      </c>
      <c r="FQ12" s="54">
        <f t="shared" si="120"/>
        <v>1.6933155078921295E-5</v>
      </c>
      <c r="FR12" s="54">
        <f t="shared" si="120"/>
        <v>1.2586786979507895E-5</v>
      </c>
      <c r="FS12" s="54">
        <f t="shared" si="120"/>
        <v>9.3560358792628429E-6</v>
      </c>
      <c r="FT12" s="54">
        <f t="shared" si="120"/>
        <v>7.489875968853634E-6</v>
      </c>
      <c r="FU12" s="54">
        <f t="shared" si="120"/>
        <v>6.954547456516659E-6</v>
      </c>
      <c r="FV12" s="54">
        <f t="shared" si="121"/>
        <v>5.1694682394434166E-6</v>
      </c>
      <c r="FW12" s="54">
        <f t="shared" si="121"/>
        <v>3.8425795561396946E-6</v>
      </c>
      <c r="FX12" s="54">
        <f t="shared" si="121"/>
        <v>3.0761365868347391E-6</v>
      </c>
      <c r="FY12" s="54">
        <f t="shared" si="121"/>
        <v>2.4625687412883516E-6</v>
      </c>
      <c r="FZ12" s="54">
        <f t="shared" si="121"/>
        <v>1.971383465716143E-6</v>
      </c>
      <c r="GA12" s="54">
        <f t="shared" si="121"/>
        <v>1.5781702673874411E-6</v>
      </c>
      <c r="GB12" s="77">
        <f t="shared" si="121"/>
        <v>1.2633875834811168E-6</v>
      </c>
      <c r="GC12" s="75">
        <f t="array" ref="GC12:GD12">LOGEST(FK12:GB12, ES12:FJ12, TRUE, TRUE)</f>
        <v>0.96360073934919399</v>
      </c>
      <c r="GD12" s="75">
        <v>4.440303416172493E-5</v>
      </c>
      <c r="GE12" s="2">
        <f t="shared" si="74"/>
        <v>3.7078240963597651E-2</v>
      </c>
      <c r="GF12" s="2">
        <f t="shared" si="65"/>
        <v>18.694176491286552</v>
      </c>
      <c r="GG12" s="2">
        <f>(GF12*DATA!$B$3)/(DATA!$B$3+GF12)</f>
        <v>17.040253502682855</v>
      </c>
      <c r="GH12" s="17">
        <f t="shared" si="66"/>
        <v>1.0915992730329564E-3</v>
      </c>
      <c r="GI12" s="96">
        <f>DATA!$B$6/DW12</f>
        <v>14.178811145186179</v>
      </c>
      <c r="GJ12" s="96"/>
      <c r="GK12" s="2">
        <f t="shared" si="75"/>
        <v>1.1629176040226818E-3</v>
      </c>
      <c r="GL12" s="2">
        <f>GK12*EF12 + GH12*DATA!$B$8</f>
        <v>0.15317375431281394</v>
      </c>
      <c r="GM12" s="96">
        <f>DATA!$B$7/GL12</f>
        <v>13.057067178203177</v>
      </c>
      <c r="GN12" s="96"/>
      <c r="GO12" s="93">
        <f t="shared" si="67"/>
        <v>14.178811145186179</v>
      </c>
      <c r="GP12" s="51">
        <f t="shared" si="68"/>
        <v>383</v>
      </c>
      <c r="GQ12" s="93">
        <f t="shared" si="36"/>
        <v>13.057067178203177</v>
      </c>
      <c r="GR12" s="51">
        <f t="shared" si="37"/>
        <v>352</v>
      </c>
      <c r="GS12" s="1"/>
      <c r="GT12" s="1"/>
      <c r="GU12" s="1"/>
      <c r="GV12" s="57">
        <f t="shared" si="76"/>
        <v>45054.665277777778</v>
      </c>
      <c r="GW12" s="2">
        <f t="shared" si="7"/>
        <v>1.5333333332673647</v>
      </c>
      <c r="GX12" s="1"/>
      <c r="GY12" s="2" t="str">
        <f t="shared" si="105"/>
        <v/>
      </c>
      <c r="GZ12" s="2" t="str">
        <f t="shared" si="106"/>
        <v/>
      </c>
      <c r="HA12" s="1"/>
      <c r="HB12" s="1"/>
      <c r="HC12" s="1"/>
      <c r="HD12" s="57">
        <f t="shared" si="9"/>
        <v>45055.313194444447</v>
      </c>
      <c r="HE12" s="2">
        <f t="shared" si="10"/>
        <v>17.083333333313931</v>
      </c>
      <c r="HF12" s="1"/>
      <c r="HG12" s="1"/>
      <c r="HH12" s="1"/>
      <c r="HI12" s="57">
        <f t="shared" si="107"/>
        <v>45056.303472222222</v>
      </c>
      <c r="HJ12" s="2">
        <f t="shared" si="108"/>
        <v>40.849999999918509</v>
      </c>
      <c r="HK12" s="1"/>
      <c r="HL12" s="1"/>
      <c r="HM12" s="1"/>
      <c r="HN12" s="57">
        <f t="shared" si="122"/>
        <v>0</v>
      </c>
      <c r="HO12" s="2" t="str">
        <f t="shared" si="123"/>
        <v/>
      </c>
      <c r="HP12" s="1"/>
      <c r="HQ12" s="1"/>
      <c r="HR12" s="1"/>
      <c r="HS12" s="57">
        <f t="shared" si="124"/>
        <v>0</v>
      </c>
      <c r="HT12" s="2" t="str">
        <f t="shared" si="125"/>
        <v/>
      </c>
      <c r="HU12" s="72">
        <f t="shared" si="126"/>
        <v>1.5333333332673647</v>
      </c>
      <c r="HV12" s="72">
        <f t="shared" si="127"/>
        <v>17.083333333313931</v>
      </c>
      <c r="HW12" s="72">
        <f t="shared" si="128"/>
        <v>40.849999999918509</v>
      </c>
      <c r="HX12" s="72" t="str">
        <f t="shared" si="129"/>
        <v/>
      </c>
      <c r="HY12" s="72" t="str">
        <f t="shared" si="130"/>
        <v/>
      </c>
      <c r="HZ12" s="2" t="e">
        <f t="shared" si="131"/>
        <v>#VALUE!</v>
      </c>
      <c r="IA12" s="2" t="e">
        <f t="shared" si="132"/>
        <v>#VALUE!</v>
      </c>
      <c r="IB12" s="2" t="e">
        <f t="shared" si="133"/>
        <v>#VALUE!</v>
      </c>
      <c r="IC12" s="2" t="e">
        <f t="shared" si="134"/>
        <v>#VALUE!</v>
      </c>
      <c r="ID12" s="2" t="e">
        <f t="shared" si="135"/>
        <v>#VALUE!</v>
      </c>
      <c r="IE12" s="14" t="e">
        <f>HZ12*EXP(DATA!$B$4*'Inputs-new'!HU12)</f>
        <v>#VALUE!</v>
      </c>
      <c r="IF12" s="14" t="e">
        <f>IA12*EXP(DATA!$B$4*'Inputs-new'!HV12)</f>
        <v>#VALUE!</v>
      </c>
      <c r="IG12" s="14" t="e">
        <f>IB12*EXP(DATA!$B$4*'Inputs-new'!HW12)</f>
        <v>#VALUE!</v>
      </c>
      <c r="IH12" s="14" t="e">
        <f>IC12*EXP(DATA!$B$4*'Inputs-new'!HX12)</f>
        <v>#VALUE!</v>
      </c>
      <c r="II12" s="14" t="e">
        <f>ID12*EXP(DATA!$B$4*'Inputs-new'!HY12)</f>
        <v>#VALUE!</v>
      </c>
      <c r="IJ12" s="2" t="e">
        <f t="array" ref="IJ12:IK12">LOGEST(IF12:IH12, HV12:HX12, TRUE, FALSE)</f>
        <v>#VALUE!</v>
      </c>
      <c r="IK12" s="2" t="e">
        <v>#VALUE!</v>
      </c>
      <c r="IL12" s="2" t="e">
        <f t="shared" si="136"/>
        <v>#VALUE!</v>
      </c>
      <c r="IM12" s="2" t="e">
        <f t="shared" si="137"/>
        <v>#VALUE!</v>
      </c>
      <c r="IN12" s="2" t="e">
        <f>(IM12*DATA!$B$3)/(DATA!$B$3+'Inputs-new'!IM12)</f>
        <v>#VALUE!</v>
      </c>
      <c r="IO12" s="2" t="e">
        <f t="shared" si="138"/>
        <v>#VALUE!</v>
      </c>
      <c r="IP12" s="2" t="e">
        <f t="shared" si="139"/>
        <v>#VALUE!</v>
      </c>
      <c r="IQ12" s="2" t="e">
        <f t="shared" si="140"/>
        <v>#VALUE!</v>
      </c>
      <c r="IR12" s="2" t="e">
        <f t="shared" si="141"/>
        <v>#VALUE!</v>
      </c>
      <c r="IS12" s="2" t="e">
        <f t="shared" si="142"/>
        <v>#VALUE!</v>
      </c>
      <c r="IT12" s="63" t="e">
        <f t="shared" si="143"/>
        <v>#VALUE!</v>
      </c>
      <c r="IU12" s="2" t="e">
        <f t="shared" si="144"/>
        <v>#VALUE!</v>
      </c>
      <c r="IV12" s="72" t="e">
        <f t="shared" si="145"/>
        <v>#VALUE!</v>
      </c>
    </row>
    <row r="13" spans="1:256" ht="15.75" thickBot="1" x14ac:dyDescent="0.3">
      <c r="A13" s="1">
        <v>12</v>
      </c>
      <c r="B13" s="1"/>
      <c r="C13" s="1" t="s">
        <v>159</v>
      </c>
      <c r="D13" s="46"/>
      <c r="E13" s="1">
        <v>161</v>
      </c>
      <c r="F13" s="1">
        <v>65</v>
      </c>
      <c r="G13" s="2">
        <f t="shared" ref="G13:G19" si="146">IF(C13 = "M", 65.76+(1.452*(E13-152)), 62.34+(1.247*(E13-152)))</f>
        <v>78.828000000000003</v>
      </c>
      <c r="H13" s="81">
        <v>42.37</v>
      </c>
      <c r="I13" s="63">
        <f>Z13*EXP(DATA!$B$4*Y13)</f>
        <v>51.347469835531058</v>
      </c>
      <c r="J13" s="63">
        <f>AA13*EXP(DATA!$B$5*'Inputs-new'!Y13)</f>
        <v>51.347469835531058</v>
      </c>
      <c r="K13" s="1"/>
      <c r="L13" s="48">
        <v>45054.601388888892</v>
      </c>
      <c r="M13" s="48">
        <v>45057.324999999997</v>
      </c>
      <c r="N13" s="1">
        <v>7.26</v>
      </c>
      <c r="O13" s="48">
        <v>45057.681250000001</v>
      </c>
      <c r="P13" s="1">
        <v>200</v>
      </c>
      <c r="Q13" s="1">
        <v>181422.28750000001</v>
      </c>
      <c r="R13" s="1"/>
      <c r="S13" s="2">
        <f t="shared" si="54"/>
        <v>3.6299999999999999E-2</v>
      </c>
      <c r="T13" s="13">
        <f>Q13*EXP((O13-M13)*24*DATA!$B$4)</f>
        <v>192462.71328958721</v>
      </c>
      <c r="U13" s="20">
        <f t="shared" si="55"/>
        <v>5302003.1209252672</v>
      </c>
      <c r="V13" s="80">
        <v>45054.665277777778</v>
      </c>
      <c r="W13" s="1">
        <v>175.6</v>
      </c>
      <c r="X13" s="1">
        <v>289330</v>
      </c>
      <c r="Y13" s="19">
        <f t="shared" si="116"/>
        <v>1.5333333332673647</v>
      </c>
      <c r="Z13" s="19">
        <f t="shared" si="0"/>
        <v>50.806348</v>
      </c>
      <c r="AA13" s="17">
        <f>IF(Z13 = "", "", Z13*EXP(Y13*DATA!$B$4)*EXP(-DATA!$B$5*'Inputs-new'!Y13))</f>
        <v>51.064906195708417</v>
      </c>
      <c r="AB13" s="48">
        <v>45055.313194444447</v>
      </c>
      <c r="AC13" s="1">
        <v>94.1</v>
      </c>
      <c r="AD13" s="1">
        <v>257677.52</v>
      </c>
      <c r="AE13" s="19">
        <f>IF(AB13="","",(AB13-$L13)*24)</f>
        <v>17.083333333313931</v>
      </c>
      <c r="AF13" s="19">
        <f>IF(AC13 = "", "", AC13*AD13/1000000)</f>
        <v>24.247454632</v>
      </c>
      <c r="AG13" s="17">
        <f>IF(AF13 = "", "", AF13*EXP(AE13*DATA!$B$4)*EXP(-DATA!$B$5*'Inputs-new'!AE13))</f>
        <v>25.658296991842736</v>
      </c>
      <c r="AH13" s="48">
        <v>45056.303472222222</v>
      </c>
      <c r="AI13" s="1">
        <v>56.1</v>
      </c>
      <c r="AJ13" s="1">
        <v>220148.13</v>
      </c>
      <c r="AK13" s="19">
        <f>IF(AH13="","",(AH13-$L13)*24)</f>
        <v>40.849999999918509</v>
      </c>
      <c r="AL13" s="19">
        <f>IF(AI13 = "", "", AI13*AJ13/1000000)</f>
        <v>12.350310093000001</v>
      </c>
      <c r="AM13" s="17">
        <f>IF(AL13 = "", "", AL13*EXP(AK13*DATA!$B$4)*EXP(-DATA!$B$5*'Inputs-new'!AK13))</f>
        <v>14.138723849605897</v>
      </c>
      <c r="AN13" s="1"/>
      <c r="AO13" s="1"/>
      <c r="AP13" s="1"/>
      <c r="AQ13" s="19" t="str">
        <f>IF(AN13="","",(AN13-$L13)*24)</f>
        <v/>
      </c>
      <c r="AR13" s="19" t="str">
        <f t="shared" si="91"/>
        <v/>
      </c>
      <c r="AS13" s="17" t="str">
        <f>IF(AR13 = "", "", AR13*EXP(AQ13*DATA!$B$4)*EXP(-DATA!$B$5*'Inputs-new'!AQ13))</f>
        <v/>
      </c>
      <c r="AT13" s="1"/>
      <c r="AU13" s="1"/>
      <c r="AV13" s="1"/>
      <c r="AW13" s="19" t="str">
        <f t="shared" si="117"/>
        <v/>
      </c>
      <c r="AX13" s="19" t="str">
        <f t="shared" si="118"/>
        <v/>
      </c>
      <c r="AY13" s="17" t="str">
        <f>IF(AX13 = "", "", AX13*EXP(AW13*DATA!$B$4)*EXP(-DATA!$B$5*'Inputs-new'!AW13))</f>
        <v/>
      </c>
      <c r="AZ13" s="80">
        <v>45054.704861111109</v>
      </c>
      <c r="BA13" s="80">
        <v>45057.698611111111</v>
      </c>
      <c r="BB13" s="1">
        <v>6262.7929999999997</v>
      </c>
      <c r="BC13" s="63">
        <f>IF(AZ13 = "", "", 24*(AZ13-$L13))</f>
        <v>2.4833333332207985</v>
      </c>
      <c r="BD13" s="12">
        <f>IF(BB13 = "", "", BB13*EXP(DATA!$B$4*(BA13-AZ13)*24))</f>
        <v>10288.882058965233</v>
      </c>
      <c r="BE13" s="12">
        <f>IF(BD13 = "", "", BD13*EXP(BC13*DATA!$B$4)*EXP(-BC13*DATA!$B$5))</f>
        <v>10373.817833394805</v>
      </c>
      <c r="BF13" s="14">
        <f t="shared" si="92"/>
        <v>1.9405650702766261E-3</v>
      </c>
      <c r="BG13" s="14">
        <f t="shared" si="92"/>
        <v>1.9565846335421323E-3</v>
      </c>
      <c r="BH13" s="16">
        <v>45055.399305555555</v>
      </c>
      <c r="BI13" s="16">
        <v>45057.70416666667</v>
      </c>
      <c r="BJ13" s="1">
        <v>4229.2449999999999</v>
      </c>
      <c r="BK13" s="63">
        <f>IF(BH13 = "", "", 24*(BH13-$L13))</f>
        <v>19.149999999906868</v>
      </c>
      <c r="BL13" s="12">
        <f>IF(BJ13 = "", "", BJ13*EXP(DATA!$B$4*(BI13-BH13)*24))</f>
        <v>6197.9981218381281</v>
      </c>
      <c r="BM13" s="12">
        <f>IF(BL13 = "", "", BL13*EXP(BK13*DATA!$B$4)*EXP(-BK13*DATA!$B$5))</f>
        <v>6603.6565191761874</v>
      </c>
      <c r="BN13" s="14">
        <f t="shared" si="93"/>
        <v>1.1689917905511338E-3</v>
      </c>
      <c r="BO13" s="14">
        <f t="shared" si="94"/>
        <v>1.245502193899834E-3</v>
      </c>
      <c r="BP13" s="16">
        <v>45056.348611111112</v>
      </c>
      <c r="BQ13" s="16">
        <v>45057.710416666669</v>
      </c>
      <c r="BR13" s="1">
        <v>1695.963</v>
      </c>
      <c r="BS13" s="2">
        <f>IF(BP13 = "", "", 24*(BP13-$L13))</f>
        <v>41.933333333290648</v>
      </c>
      <c r="BT13" s="12">
        <f>IF(BR13 = "", "", BR13*EXP(DATA!$B$4*(BQ13-BP13)*24))</f>
        <v>2125.6373726685715</v>
      </c>
      <c r="BU13" s="12">
        <f>IF(BT13 = "", "", BT13*EXP(BS13*DATA!$B$4)*EXP(-BS13*DATA!$B$5))</f>
        <v>2442.1880212780788</v>
      </c>
      <c r="BV13" s="14">
        <f t="shared" si="95"/>
        <v>4.0091213154503394E-4</v>
      </c>
      <c r="BW13" s="2">
        <f t="shared" si="95"/>
        <v>4.6061610406066407E-4</v>
      </c>
      <c r="BX13" s="16"/>
      <c r="BY13" s="16"/>
      <c r="BZ13" s="1"/>
      <c r="CA13" s="12" t="str">
        <f>IF(BX13 = "", "", 24*(BX13-$L13))</f>
        <v/>
      </c>
      <c r="CB13" s="12" t="str">
        <f>IF(BZ13 = "", "", BZ13*EXP(DATA!$B$4*(BY13-BX13)*24))</f>
        <v/>
      </c>
      <c r="CC13" s="12" t="str">
        <f>IF(CB13 = "", "", CB13*EXP(CA13*DATA!$B$4)*EXP(-CA13*DATA!$B$5))</f>
        <v/>
      </c>
      <c r="CD13" s="14" t="e">
        <f t="shared" si="96"/>
        <v>#VALUE!</v>
      </c>
      <c r="CE13" s="60" t="e">
        <f t="shared" si="97"/>
        <v>#VALUE!</v>
      </c>
      <c r="CF13" s="16"/>
      <c r="CG13" s="16"/>
      <c r="CH13" s="1"/>
      <c r="CI13" s="12" t="str">
        <f>IF(CF13 = "", "", 24*(CF13-$L13))</f>
        <v/>
      </c>
      <c r="CJ13" s="12" t="str">
        <f>IF(CH13 = "", "", CH13*EXP(DATA!$B$4*(CG13-CF13)*24))</f>
        <v/>
      </c>
      <c r="CK13" s="12" t="str">
        <f>IF(CJ13 = "", "", CJ13*EXP(CI13*DATA!$B$4)*EXP(-CI13*DATA!$B$5))</f>
        <v/>
      </c>
      <c r="CL13" s="61" t="e">
        <f t="shared" si="98"/>
        <v>#VALUE!</v>
      </c>
      <c r="CM13" s="62" t="e">
        <f t="shared" si="99"/>
        <v>#VALUE!</v>
      </c>
      <c r="CN13" s="41">
        <f t="shared" si="100"/>
        <v>51.064906195708417</v>
      </c>
      <c r="CO13" s="42">
        <f>AG13</f>
        <v>25.658296991842736</v>
      </c>
      <c r="CP13" s="42">
        <f>AM13</f>
        <v>14.138723849605897</v>
      </c>
      <c r="CQ13" s="42" t="str">
        <f>AS13</f>
        <v/>
      </c>
      <c r="CR13" s="42" t="str">
        <f>AY13</f>
        <v/>
      </c>
      <c r="CS13" s="42">
        <f>Y13</f>
        <v>1.5333333332673647</v>
      </c>
      <c r="CT13" s="42">
        <f>AE13</f>
        <v>17.083333333313931</v>
      </c>
      <c r="CU13" s="42">
        <f>AK13</f>
        <v>40.849999999918509</v>
      </c>
      <c r="CV13" s="42" t="str">
        <f>AQ13</f>
        <v/>
      </c>
      <c r="CW13" s="42" t="str">
        <f>AW13</f>
        <v/>
      </c>
      <c r="CX13" s="75">
        <f t="array" ref="CX13:CY13">LOGEST(CN13:CP13,CS13:CU13,TRUE,TRUE)</f>
        <v>0.96847497686670025</v>
      </c>
      <c r="CY13" s="75">
        <v>49.928165130981483</v>
      </c>
      <c r="CZ13" s="76">
        <v>0</v>
      </c>
      <c r="DA13" s="2">
        <v>2</v>
      </c>
      <c r="DB13" s="2">
        <v>4</v>
      </c>
      <c r="DC13" s="2">
        <v>10</v>
      </c>
      <c r="DD13" s="2">
        <v>18</v>
      </c>
      <c r="DE13" s="2">
        <v>24</v>
      </c>
      <c r="DF13" s="2">
        <v>26</v>
      </c>
      <c r="DG13" s="2">
        <v>34</v>
      </c>
      <c r="DH13" s="2">
        <v>42</v>
      </c>
      <c r="DI13" s="2">
        <v>48</v>
      </c>
      <c r="DJ13" s="2">
        <v>50</v>
      </c>
      <c r="DK13" s="2">
        <v>58</v>
      </c>
      <c r="DL13" s="2">
        <v>66</v>
      </c>
      <c r="DM13" s="2">
        <v>74</v>
      </c>
      <c r="DN13" s="2">
        <f t="shared" si="101"/>
        <v>0.97235881905971822</v>
      </c>
      <c r="DO13" s="2">
        <f t="shared" si="119"/>
        <v>0.91201790705958219</v>
      </c>
      <c r="DP13" s="2">
        <f t="shared" si="119"/>
        <v>0.85542152392023141</v>
      </c>
      <c r="DQ13" s="2">
        <f t="shared" si="119"/>
        <v>0.70584704019651934</v>
      </c>
      <c r="DR13" s="2">
        <f t="shared" si="119"/>
        <v>0.54628318182971602</v>
      </c>
      <c r="DS13" s="2">
        <f t="shared" si="119"/>
        <v>0.45076299370694684</v>
      </c>
      <c r="DT13" s="2">
        <f t="shared" si="119"/>
        <v>0.4227903465698632</v>
      </c>
      <c r="DU13" s="2">
        <f t="shared" si="119"/>
        <v>0.3272143150260563</v>
      </c>
      <c r="DV13" s="2">
        <f t="shared" si="119"/>
        <v>0.2532442115261937</v>
      </c>
      <c r="DW13" s="2">
        <f t="shared" si="119"/>
        <v>0.20896326799620463</v>
      </c>
      <c r="DX13" s="2">
        <f t="shared" si="119"/>
        <v>0.19599579763622688</v>
      </c>
      <c r="DY13" s="2">
        <f t="shared" si="119"/>
        <v>0.15168896639158727</v>
      </c>
      <c r="DZ13" s="2">
        <f t="shared" si="119"/>
        <v>0.11739814221759172</v>
      </c>
      <c r="EA13" s="73">
        <f t="shared" si="119"/>
        <v>9.0859105470879289E-2</v>
      </c>
      <c r="EB13" s="75">
        <f t="array" ref="EB13:EC13">LOGEST(DN13:EA13,CZ13:DM13,TRUE,TRUE)</f>
        <v>0.96847497686670025</v>
      </c>
      <c r="EC13" s="75">
        <v>0.97235881905971844</v>
      </c>
      <c r="ED13" s="2">
        <f t="shared" si="2"/>
        <v>3.2032633467628184E-2</v>
      </c>
      <c r="EE13" s="2">
        <f t="shared" si="3"/>
        <v>21.638782251869237</v>
      </c>
      <c r="EF13" s="17">
        <f t="shared" si="4"/>
        <v>30.355256930166956</v>
      </c>
      <c r="EG13" s="2">
        <f t="shared" si="59"/>
        <v>1.9565846335421323E-3</v>
      </c>
      <c r="EH13" s="2">
        <f>BO13</f>
        <v>1.245502193899834E-3</v>
      </c>
      <c r="EI13" s="2">
        <f t="shared" si="61"/>
        <v>4.6061610406066407E-4</v>
      </c>
      <c r="EJ13" s="2" t="e">
        <f>CE13</f>
        <v>#VALUE!</v>
      </c>
      <c r="EK13" s="2" t="e">
        <f t="shared" si="63"/>
        <v>#VALUE!</v>
      </c>
      <c r="EL13" s="12">
        <f>BC13</f>
        <v>2.4833333332207985</v>
      </c>
      <c r="EM13" s="12">
        <f>BK13</f>
        <v>19.149999999906868</v>
      </c>
      <c r="EN13" s="12">
        <f>BS13</f>
        <v>41.933333333290648</v>
      </c>
      <c r="EO13" s="12" t="str">
        <f>CA13</f>
        <v/>
      </c>
      <c r="EP13" s="12" t="str">
        <f>CI13</f>
        <v/>
      </c>
      <c r="EQ13" s="35">
        <f t="array" ref="EQ13:ER13">LOGEST(EG13:EI13, EL13:EN13, TRUE, TRUE)</f>
        <v>0.96360073934919399</v>
      </c>
      <c r="ER13" s="35">
        <v>2.2799716997246523E-3</v>
      </c>
      <c r="ES13" s="53">
        <v>0</v>
      </c>
      <c r="ET13" s="53">
        <v>2</v>
      </c>
      <c r="EU13" s="53">
        <v>4</v>
      </c>
      <c r="EV13" s="53">
        <v>10</v>
      </c>
      <c r="EW13" s="53">
        <v>18</v>
      </c>
      <c r="EX13" s="53">
        <v>24</v>
      </c>
      <c r="EY13" s="53">
        <v>26</v>
      </c>
      <c r="EZ13" s="53">
        <v>34</v>
      </c>
      <c r="FA13" s="53">
        <v>42</v>
      </c>
      <c r="FB13" s="53">
        <v>48</v>
      </c>
      <c r="FC13" s="53">
        <v>50</v>
      </c>
      <c r="FD13" s="53">
        <v>58</v>
      </c>
      <c r="FE13" s="53">
        <v>66</v>
      </c>
      <c r="FF13" s="53">
        <v>72</v>
      </c>
      <c r="FG13" s="53">
        <v>78</v>
      </c>
      <c r="FH13" s="53">
        <v>84</v>
      </c>
      <c r="FI13" s="53">
        <v>90</v>
      </c>
      <c r="FJ13" s="53">
        <v>96</v>
      </c>
      <c r="FK13" s="54">
        <f t="shared" si="103"/>
        <v>4.440280518256371E-5</v>
      </c>
      <c r="FL13" s="54">
        <f t="shared" si="120"/>
        <v>4.1229176174444304E-5</v>
      </c>
      <c r="FM13" s="54">
        <f t="shared" si="120"/>
        <v>3.8282377904602939E-5</v>
      </c>
      <c r="FN13" s="54">
        <f t="shared" si="120"/>
        <v>3.0646554373928956E-5</v>
      </c>
      <c r="FO13" s="54">
        <f t="shared" si="120"/>
        <v>2.2780258596977479E-5</v>
      </c>
      <c r="FP13" s="54">
        <f t="shared" si="120"/>
        <v>1.8236496057902694E-5</v>
      </c>
      <c r="FQ13" s="54">
        <f t="shared" si="120"/>
        <v>1.6933067757419056E-5</v>
      </c>
      <c r="FR13" s="54">
        <f t="shared" si="120"/>
        <v>1.2586722071512764E-5</v>
      </c>
      <c r="FS13" s="54">
        <f t="shared" si="120"/>
        <v>9.3559876317210118E-6</v>
      </c>
      <c r="FT13" s="54">
        <f t="shared" si="120"/>
        <v>7.48983734479225E-6</v>
      </c>
      <c r="FU13" s="54">
        <f t="shared" si="120"/>
        <v>6.9545115930565734E-6</v>
      </c>
      <c r="FV13" s="54">
        <f t="shared" si="121"/>
        <v>5.1694415813439462E-6</v>
      </c>
      <c r="FW13" s="54">
        <f t="shared" si="121"/>
        <v>3.8425597405874397E-6</v>
      </c>
      <c r="FX13" s="54">
        <f t="shared" si="121"/>
        <v>3.0761207237031135E-6</v>
      </c>
      <c r="FY13" s="54">
        <f t="shared" si="121"/>
        <v>2.4625560422254267E-6</v>
      </c>
      <c r="FZ13" s="54">
        <f t="shared" si="121"/>
        <v>1.9713732996150879E-6</v>
      </c>
      <c r="GA13" s="54">
        <f t="shared" si="121"/>
        <v>1.5781621290223286E-6</v>
      </c>
      <c r="GB13" s="77">
        <f t="shared" si="121"/>
        <v>1.2633810683986537E-6</v>
      </c>
      <c r="GC13" s="75">
        <f t="array" ref="GC13:GD13">LOGEST(FK13:GB13, ES13:FJ13, TRUE, TRUE)</f>
        <v>0.96360073934919399</v>
      </c>
      <c r="GD13" s="75">
        <v>4.4402805182563825E-5</v>
      </c>
      <c r="GE13" s="2">
        <f t="shared" si="74"/>
        <v>3.7078240963597651E-2</v>
      </c>
      <c r="GF13" s="2">
        <f t="shared" si="65"/>
        <v>18.694176491286552</v>
      </c>
      <c r="GG13" s="2">
        <f>(GF13*DATA!$B$3)/(DATA!$B$3+GF13)</f>
        <v>17.040253502682855</v>
      </c>
      <c r="GH13" s="17">
        <f t="shared" si="66"/>
        <v>1.0915936438346252E-3</v>
      </c>
      <c r="GI13" s="96">
        <f>DATA!$B$6/DW13</f>
        <v>14.165168971485276</v>
      </c>
      <c r="GJ13" s="96"/>
      <c r="GK13" s="2">
        <f t="shared" si="75"/>
        <v>1.1629176040226818E-3</v>
      </c>
      <c r="GL13" s="2">
        <f>GK13*EF13 + GH13*DATA!$B$8</f>
        <v>0.1531927761928622</v>
      </c>
      <c r="GM13" s="96">
        <f>DATA!$B$7/GL13</f>
        <v>13.055445887879843</v>
      </c>
      <c r="GN13" s="96"/>
      <c r="GO13" s="93">
        <f>GI13</f>
        <v>14.165168971485276</v>
      </c>
      <c r="GP13" s="51">
        <f>ROUNDDOWN(GO13*27.027,0)</f>
        <v>382</v>
      </c>
      <c r="GQ13" s="93">
        <f>GM13</f>
        <v>13.055445887879843</v>
      </c>
      <c r="GR13" s="51">
        <f>ROUNDDOWN(GQ13 * 27.027,0)</f>
        <v>352</v>
      </c>
      <c r="GS13" s="1"/>
      <c r="GT13" s="1"/>
      <c r="GU13" s="1"/>
      <c r="GV13" s="57">
        <f t="shared" si="76"/>
        <v>45054.665277777778</v>
      </c>
      <c r="GW13" s="2">
        <f>Y13</f>
        <v>1.5333333332673647</v>
      </c>
      <c r="GX13" s="1"/>
      <c r="GY13" s="2" t="str">
        <f t="shared" si="105"/>
        <v/>
      </c>
      <c r="GZ13" s="2" t="str">
        <f t="shared" si="106"/>
        <v/>
      </c>
      <c r="HA13" s="1"/>
      <c r="HB13" s="1"/>
      <c r="HC13" s="1"/>
      <c r="HD13" s="57">
        <f t="shared" ref="HD13:HD17" si="147">AB13</f>
        <v>45055.313194444447</v>
      </c>
      <c r="HE13" s="2">
        <f>AE13</f>
        <v>17.083333333313931</v>
      </c>
      <c r="HF13" s="1"/>
      <c r="HG13" s="1"/>
      <c r="HH13" s="1"/>
      <c r="HI13" s="57">
        <f t="shared" si="107"/>
        <v>45056.303472222222</v>
      </c>
      <c r="HJ13" s="2">
        <f t="shared" si="108"/>
        <v>40.849999999918509</v>
      </c>
      <c r="HK13" s="1"/>
      <c r="HL13" s="1"/>
      <c r="HM13" s="1"/>
      <c r="HN13" s="57">
        <f t="shared" si="122"/>
        <v>0</v>
      </c>
      <c r="HO13" s="2" t="str">
        <f t="shared" si="123"/>
        <v/>
      </c>
      <c r="HP13" s="1"/>
      <c r="HQ13" s="1"/>
      <c r="HR13" s="1"/>
      <c r="HS13" s="57">
        <f t="shared" si="124"/>
        <v>0</v>
      </c>
      <c r="HT13" s="2" t="str">
        <f t="shared" si="125"/>
        <v/>
      </c>
      <c r="HU13" s="72">
        <f t="shared" si="126"/>
        <v>1.5333333332673647</v>
      </c>
      <c r="HV13" s="72">
        <f t="shared" si="127"/>
        <v>17.083333333313931</v>
      </c>
      <c r="HW13" s="72">
        <f t="shared" si="128"/>
        <v>40.849999999918509</v>
      </c>
      <c r="HX13" s="72" t="str">
        <f t="shared" si="129"/>
        <v/>
      </c>
      <c r="HY13" s="72" t="str">
        <f t="shared" si="130"/>
        <v/>
      </c>
      <c r="HZ13" s="2" t="e">
        <f t="shared" si="131"/>
        <v>#VALUE!</v>
      </c>
      <c r="IA13" s="2" t="e">
        <f t="shared" si="132"/>
        <v>#VALUE!</v>
      </c>
      <c r="IB13" s="2" t="e">
        <f t="shared" si="133"/>
        <v>#VALUE!</v>
      </c>
      <c r="IC13" s="2" t="e">
        <f t="shared" si="134"/>
        <v>#VALUE!</v>
      </c>
      <c r="ID13" s="2" t="e">
        <f t="shared" si="135"/>
        <v>#VALUE!</v>
      </c>
      <c r="IE13" s="14" t="e">
        <f>HZ13*EXP(DATA!$B$4*'Inputs-new'!HU13)</f>
        <v>#VALUE!</v>
      </c>
      <c r="IF13" s="14" t="e">
        <f>IA13*EXP(DATA!$B$4*'Inputs-new'!HV13)</f>
        <v>#VALUE!</v>
      </c>
      <c r="IG13" s="14" t="e">
        <f>IB13*EXP(DATA!$B$4*'Inputs-new'!HW13)</f>
        <v>#VALUE!</v>
      </c>
      <c r="IH13" s="14" t="e">
        <f>IC13*EXP(DATA!$B$4*'Inputs-new'!HX13)</f>
        <v>#VALUE!</v>
      </c>
      <c r="II13" s="14" t="e">
        <f>ID13*EXP(DATA!$B$4*'Inputs-new'!HY13)</f>
        <v>#VALUE!</v>
      </c>
      <c r="IJ13" s="2" t="e">
        <f t="array" ref="IJ13:IK13">LOGEST(IF13:IH13, HV13:HX13, TRUE, FALSE)</f>
        <v>#VALUE!</v>
      </c>
      <c r="IK13" s="2" t="e">
        <v>#VALUE!</v>
      </c>
      <c r="IL13" s="2" t="e">
        <f t="shared" si="136"/>
        <v>#VALUE!</v>
      </c>
      <c r="IM13" s="2" t="e">
        <f t="shared" si="137"/>
        <v>#VALUE!</v>
      </c>
      <c r="IN13" s="2" t="e">
        <f>(IM13*DATA!$B$3)/(DATA!$B$3+'Inputs-new'!IM13)</f>
        <v>#VALUE!</v>
      </c>
      <c r="IO13" s="2" t="e">
        <f t="shared" si="138"/>
        <v>#VALUE!</v>
      </c>
      <c r="IP13" s="2" t="e">
        <f t="shared" si="139"/>
        <v>#VALUE!</v>
      </c>
      <c r="IQ13" s="2" t="e">
        <f t="shared" si="140"/>
        <v>#VALUE!</v>
      </c>
      <c r="IR13" s="2" t="e">
        <f t="shared" si="141"/>
        <v>#VALUE!</v>
      </c>
      <c r="IS13" s="2" t="e">
        <f t="shared" si="142"/>
        <v>#VALUE!</v>
      </c>
      <c r="IT13" s="63" t="e">
        <f t="shared" si="143"/>
        <v>#VALUE!</v>
      </c>
      <c r="IU13" s="2" t="e">
        <f t="shared" si="144"/>
        <v>#VALUE!</v>
      </c>
      <c r="IV13" s="72" t="e">
        <f t="shared" si="145"/>
        <v>#VALUE!</v>
      </c>
    </row>
    <row r="14" spans="1:256" ht="15.75" thickBot="1" x14ac:dyDescent="0.3">
      <c r="A14" s="1">
        <v>13</v>
      </c>
      <c r="B14" s="1"/>
      <c r="C14" s="1" t="s">
        <v>160</v>
      </c>
      <c r="D14" s="46"/>
      <c r="E14" s="1">
        <v>171</v>
      </c>
      <c r="F14" s="1">
        <v>65</v>
      </c>
      <c r="G14" s="2">
        <f t="shared" si="146"/>
        <v>86.033000000000001</v>
      </c>
      <c r="H14" s="1">
        <v>52.12</v>
      </c>
      <c r="I14" s="63">
        <f>Z14*EXP(DATA!$B$4*Y14)</f>
        <v>42.773670319151371</v>
      </c>
      <c r="J14" s="63">
        <f>AA14*EXP(DATA!$B$5*'Inputs-new'!Y14)</f>
        <v>42.773670319151378</v>
      </c>
      <c r="K14" s="1"/>
      <c r="L14" s="48">
        <v>45054.623611111114</v>
      </c>
      <c r="M14" s="48">
        <v>45057.324999999997</v>
      </c>
      <c r="N14" s="1">
        <v>7.26</v>
      </c>
      <c r="O14" s="48">
        <v>45057.63958333333</v>
      </c>
      <c r="P14" s="1">
        <v>200</v>
      </c>
      <c r="Q14" s="1">
        <v>184101.42249999999</v>
      </c>
      <c r="R14" s="1"/>
      <c r="S14" s="2">
        <f t="shared" si="54"/>
        <v>3.6299999999999999E-2</v>
      </c>
      <c r="T14" s="13">
        <f>Q14*EXP((O14-M14)*24*DATA!$B$4)</f>
        <v>193960.10565021707</v>
      </c>
      <c r="U14" s="20">
        <f t="shared" si="55"/>
        <v>5343253.5991795333</v>
      </c>
      <c r="V14" s="48">
        <v>45054.706250000003</v>
      </c>
      <c r="W14" s="1">
        <v>164.1</v>
      </c>
      <c r="X14" s="1">
        <v>257108.57</v>
      </c>
      <c r="Y14" s="19">
        <f t="shared" si="116"/>
        <v>1.9833333333372138</v>
      </c>
      <c r="Z14" s="19">
        <f t="shared" si="0"/>
        <v>42.191516336999996</v>
      </c>
      <c r="AA14" s="17">
        <f>IF(Z14 = "", "", Z14*EXP(Y14*DATA!$B$4)*EXP(-DATA!$B$5*'Inputs-new'!Y14))</f>
        <v>42.469454643449794</v>
      </c>
      <c r="AB14" s="48">
        <v>45055.354861111111</v>
      </c>
      <c r="AC14" s="1">
        <v>86</v>
      </c>
      <c r="AD14" s="1">
        <v>232375.45</v>
      </c>
      <c r="AE14" s="19">
        <f>IF(AB14="","",(AB14-$L14)*24)</f>
        <v>17.549999999930151</v>
      </c>
      <c r="AF14" s="19">
        <f>IF(AC14 = "", "", AC14*AD14/1000000)</f>
        <v>19.9842887</v>
      </c>
      <c r="AG14" s="17">
        <f>IF(AF14 = "", "", AF14*EXP(AE14*DATA!$B$4)*EXP(-DATA!$B$5*'Inputs-new'!AE14))</f>
        <v>21.179773938002501</v>
      </c>
      <c r="AH14" s="48">
        <v>45056.348611111112</v>
      </c>
      <c r="AI14" s="1">
        <v>29.3</v>
      </c>
      <c r="AJ14" s="1">
        <v>234225.22</v>
      </c>
      <c r="AK14" s="19">
        <f>IF(AH14="","",(AH14-$L14)*24)</f>
        <v>41.399999999965075</v>
      </c>
      <c r="AL14" s="19">
        <f>IF(AI14 = "", "", AI14*AJ14/1000000)</f>
        <v>6.8627989460000007</v>
      </c>
      <c r="AM14" s="17">
        <f>IF(AL14 = "", "", AL14*EXP(AK14*DATA!$B$4)*EXP(-DATA!$B$5*'Inputs-new'!AK14))</f>
        <v>7.8708999513628806</v>
      </c>
      <c r="AN14" s="1"/>
      <c r="AO14" s="1"/>
      <c r="AP14" s="1"/>
      <c r="AQ14" s="19" t="str">
        <f>IF(AN14="","",(AN14-$L14)*24)</f>
        <v/>
      </c>
      <c r="AR14" s="19" t="str">
        <f t="shared" si="91"/>
        <v/>
      </c>
      <c r="AS14" s="17" t="str">
        <f>IF(AR14 = "", "", AR14*EXP(AQ14*DATA!$B$4)*EXP(-DATA!$B$5*'Inputs-new'!AQ14))</f>
        <v/>
      </c>
      <c r="AT14" s="1"/>
      <c r="AU14" s="1"/>
      <c r="AV14" s="1"/>
      <c r="AW14" s="19" t="str">
        <f t="shared" si="117"/>
        <v/>
      </c>
      <c r="AX14" s="19" t="str">
        <f t="shared" si="118"/>
        <v/>
      </c>
      <c r="AY14" s="17" t="str">
        <f>IF(AX14 = "", "", AX14*EXP(AW14*DATA!$B$4)*EXP(-DATA!$B$5*'Inputs-new'!AW14))</f>
        <v/>
      </c>
      <c r="AZ14" s="80">
        <v>45054.690972222219</v>
      </c>
      <c r="BA14" s="80">
        <v>45057.656944444447</v>
      </c>
      <c r="BB14" s="1">
        <v>5797.518</v>
      </c>
      <c r="BC14" s="63">
        <f>IF(AZ14 = "", "", 24*(AZ14-$L14))</f>
        <v>1.6166666665230878</v>
      </c>
      <c r="BD14" s="12">
        <f>IF(BB14 = "", "", BB14*EXP(DATA!$B$4*(BA14-AZ14)*24))</f>
        <v>9480.7298571541232</v>
      </c>
      <c r="BE14" s="12">
        <f>IF(BD14 = "", "", BD14*EXP(BC14*DATA!$B$4)*EXP(-BC14*DATA!$B$5))</f>
        <v>9531.6073810999005</v>
      </c>
      <c r="BF14" s="14">
        <f t="shared" si="92"/>
        <v>1.77433649389389E-3</v>
      </c>
      <c r="BG14" s="14">
        <f t="shared" si="92"/>
        <v>1.7838583185652084E-3</v>
      </c>
      <c r="BH14" s="16">
        <v>45055.326388888891</v>
      </c>
      <c r="BI14" s="16">
        <v>45057.663194444445</v>
      </c>
      <c r="BJ14" s="1">
        <v>4120.098</v>
      </c>
      <c r="BK14" s="63">
        <f>IF(BH14 = "", "", 24*(BH14-$L14))</f>
        <v>16.866666666639503</v>
      </c>
      <c r="BL14" s="12">
        <f>IF(BJ14 = "", "", BJ14*EXP(DATA!$B$4*(BI14-BH14)*24))</f>
        <v>6070.1116164241857</v>
      </c>
      <c r="BM14" s="12">
        <f>IF(BL14 = "", "", BL14*EXP(BK14*DATA!$B$4)*EXP(-BK14*DATA!$B$5))</f>
        <v>6418.6964145978545</v>
      </c>
      <c r="BN14" s="14">
        <f t="shared" si="93"/>
        <v>1.1360328503510037E-3</v>
      </c>
      <c r="BO14" s="14">
        <f t="shared" si="94"/>
        <v>1.2012711535128067E-3</v>
      </c>
      <c r="BP14" s="16">
        <v>45056.336805555555</v>
      </c>
      <c r="BQ14" s="16">
        <v>45057.669444444444</v>
      </c>
      <c r="BR14" s="1">
        <v>1331.038</v>
      </c>
      <c r="BS14" s="2">
        <f>IF(BP14 = "", "", 24*(BP14-$L14))</f>
        <v>41.116666666581295</v>
      </c>
      <c r="BT14" s="12">
        <f>IF(BR14 = "", "", BR14*EXP(DATA!$B$4*(BQ14-BP14)*24))</f>
        <v>1660.2090232518299</v>
      </c>
      <c r="BU14" s="12">
        <f>IF(BT14 = "", "", BT14*EXP(BS14*DATA!$B$4)*EXP(-BS14*DATA!$B$5))</f>
        <v>1902.2978704638642</v>
      </c>
      <c r="BV14" s="14">
        <f t="shared" si="95"/>
        <v>3.1071125344055503E-4</v>
      </c>
      <c r="BW14" s="2">
        <f t="shared" si="95"/>
        <v>3.5601863829857626E-4</v>
      </c>
      <c r="BX14" s="16"/>
      <c r="BY14" s="16"/>
      <c r="BZ14" s="1"/>
      <c r="CA14" s="12" t="str">
        <f>IF(BX14 = "", "", 24*(BX14-$L14))</f>
        <v/>
      </c>
      <c r="CB14" s="12" t="str">
        <f>IF(BZ14 = "", "", BZ14*EXP(DATA!$B$4*(BY14-BX14)*24))</f>
        <v/>
      </c>
      <c r="CC14" s="12" t="str">
        <f>IF(CB14 = "", "", CB14*EXP(CA14*DATA!$B$4)*EXP(-CA14*DATA!$B$5))</f>
        <v/>
      </c>
      <c r="CD14" s="14" t="e">
        <f t="shared" si="96"/>
        <v>#VALUE!</v>
      </c>
      <c r="CE14" s="60" t="e">
        <f t="shared" si="97"/>
        <v>#VALUE!</v>
      </c>
      <c r="CF14" s="16"/>
      <c r="CG14" s="16"/>
      <c r="CH14" s="1"/>
      <c r="CI14" s="12" t="str">
        <f>IF(CF14 = "", "", 24*(CF14-$L14))</f>
        <v/>
      </c>
      <c r="CJ14" s="12" t="str">
        <f>IF(CH14 = "", "", CH14*EXP(DATA!$B$4*(CG14-CF14)*24))</f>
        <v/>
      </c>
      <c r="CK14" s="12" t="str">
        <f>IF(CJ14 = "", "", CJ14*EXP(CI14*DATA!$B$4)*EXP(-CI14*DATA!$B$5))</f>
        <v/>
      </c>
      <c r="CL14" s="61" t="e">
        <f t="shared" si="98"/>
        <v>#VALUE!</v>
      </c>
      <c r="CM14" s="62" t="e">
        <f t="shared" si="99"/>
        <v>#VALUE!</v>
      </c>
      <c r="CN14" s="41">
        <f t="shared" si="100"/>
        <v>42.469454643449794</v>
      </c>
      <c r="CO14" s="42">
        <f>AG14</f>
        <v>21.179773938002501</v>
      </c>
      <c r="CP14" s="42">
        <f>AM14</f>
        <v>7.8708999513628806</v>
      </c>
      <c r="CQ14" s="42" t="str">
        <f>AS14</f>
        <v/>
      </c>
      <c r="CR14" s="42" t="str">
        <f>AY14</f>
        <v/>
      </c>
      <c r="CS14" s="42">
        <f>Y14</f>
        <v>1.9833333333372138</v>
      </c>
      <c r="CT14" s="42">
        <f>AE14</f>
        <v>17.549999999930151</v>
      </c>
      <c r="CU14" s="42">
        <f>AK14</f>
        <v>41.399999999965075</v>
      </c>
      <c r="CV14" s="42" t="str">
        <f>AQ14</f>
        <v/>
      </c>
      <c r="CW14" s="42" t="str">
        <f>AW14</f>
        <v/>
      </c>
      <c r="CX14" s="75">
        <f t="array" ref="CX14:CY14">LOGEST(CN14:CP14,CS14:CU14,TRUE,TRUE)</f>
        <v>0.95823836696247977</v>
      </c>
      <c r="CY14" s="75">
        <v>45.670258449683452</v>
      </c>
      <c r="CZ14" s="76">
        <v>0</v>
      </c>
      <c r="DA14" s="2">
        <v>2</v>
      </c>
      <c r="DB14" s="2">
        <v>4</v>
      </c>
      <c r="DC14" s="2">
        <v>10</v>
      </c>
      <c r="DD14" s="2">
        <v>18</v>
      </c>
      <c r="DE14" s="2">
        <v>24</v>
      </c>
      <c r="DF14" s="2">
        <v>26</v>
      </c>
      <c r="DG14" s="2">
        <v>34</v>
      </c>
      <c r="DH14" s="2">
        <v>42</v>
      </c>
      <c r="DI14" s="2">
        <v>48</v>
      </c>
      <c r="DJ14" s="2">
        <v>50</v>
      </c>
      <c r="DK14" s="2">
        <v>58</v>
      </c>
      <c r="DL14" s="2">
        <v>66</v>
      </c>
      <c r="DM14" s="2">
        <v>74</v>
      </c>
      <c r="DN14" s="2">
        <f t="shared" si="101"/>
        <v>1.0677189520777497</v>
      </c>
      <c r="DO14" s="2">
        <f t="shared" si="119"/>
        <v>0.98040171609841587</v>
      </c>
      <c r="DP14" s="2">
        <f t="shared" si="119"/>
        <v>0.90022521662491439</v>
      </c>
      <c r="DQ14" s="2">
        <f t="shared" si="119"/>
        <v>0.69693537291704466</v>
      </c>
      <c r="DR14" s="2">
        <f t="shared" si="119"/>
        <v>0.49542846166770899</v>
      </c>
      <c r="DS14" s="2">
        <f t="shared" si="119"/>
        <v>0.38355026421123534</v>
      </c>
      <c r="DT14" s="2">
        <f t="shared" si="119"/>
        <v>0.35218381813954519</v>
      </c>
      <c r="DU14" s="2">
        <f t="shared" si="119"/>
        <v>0.25035590676770453</v>
      </c>
      <c r="DV14" s="2">
        <f t="shared" si="119"/>
        <v>0.17796978970977234</v>
      </c>
      <c r="DW14" s="2">
        <f t="shared" si="119"/>
        <v>0.1377804570109345</v>
      </c>
      <c r="DX14" s="2">
        <f t="shared" si="119"/>
        <v>0.12651287704080003</v>
      </c>
      <c r="DY14" s="2">
        <f t="shared" si="119"/>
        <v>8.9933848229195951E-2</v>
      </c>
      <c r="DZ14" s="2">
        <f t="shared" si="119"/>
        <v>6.393101830024514E-2</v>
      </c>
      <c r="EA14" s="73">
        <f t="shared" si="119"/>
        <v>4.5446460719551725E-2</v>
      </c>
      <c r="EB14" s="75">
        <f t="array" ref="EB14:EC14">LOGEST(DN14:EA14,CZ14:DM14,TRUE,TRUE)</f>
        <v>0.95823836696247977</v>
      </c>
      <c r="EC14" s="75">
        <v>1.0677189520777493</v>
      </c>
      <c r="ED14" s="2">
        <f t="shared" si="2"/>
        <v>4.2658714672563262E-2</v>
      </c>
      <c r="EE14" s="2">
        <f t="shared" si="3"/>
        <v>16.248665387139656</v>
      </c>
      <c r="EF14" s="17">
        <f t="shared" si="4"/>
        <v>25.029327776827564</v>
      </c>
      <c r="EG14" s="2">
        <f t="shared" si="59"/>
        <v>1.7838583185652084E-3</v>
      </c>
      <c r="EH14" s="2">
        <f>BO14</f>
        <v>1.2012711535128067E-3</v>
      </c>
      <c r="EI14" s="2">
        <f t="shared" si="61"/>
        <v>3.5601863829857626E-4</v>
      </c>
      <c r="EJ14" s="2" t="e">
        <f>CE14</f>
        <v>#VALUE!</v>
      </c>
      <c r="EK14" s="2" t="e">
        <f t="shared" si="63"/>
        <v>#VALUE!</v>
      </c>
      <c r="EL14" s="12">
        <f>BC14</f>
        <v>1.6166666665230878</v>
      </c>
      <c r="EM14" s="12">
        <f>BK14</f>
        <v>16.866666666639503</v>
      </c>
      <c r="EN14" s="12">
        <f>BS14</f>
        <v>41.116666666581295</v>
      </c>
      <c r="EO14" s="12" t="str">
        <f>CA14</f>
        <v/>
      </c>
      <c r="EP14" s="12" t="str">
        <f>CI14</f>
        <v/>
      </c>
      <c r="EQ14" s="35">
        <f t="array" ref="EQ14:ER14">LOGEST(EG14:EI14, EL14:EN14, TRUE, TRUE)</f>
        <v>0.9591996683334163</v>
      </c>
      <c r="ER14" s="35">
        <v>2.0904134187697773E-3</v>
      </c>
      <c r="ES14" s="53">
        <v>0</v>
      </c>
      <c r="ET14" s="53">
        <v>2</v>
      </c>
      <c r="EU14" s="53">
        <v>4</v>
      </c>
      <c r="EV14" s="53">
        <v>10</v>
      </c>
      <c r="EW14" s="53">
        <v>18</v>
      </c>
      <c r="EX14" s="53">
        <v>24</v>
      </c>
      <c r="EY14" s="53">
        <v>26</v>
      </c>
      <c r="EZ14" s="53">
        <v>34</v>
      </c>
      <c r="FA14" s="53">
        <v>42</v>
      </c>
      <c r="FB14" s="53">
        <v>48</v>
      </c>
      <c r="FC14" s="53">
        <v>50</v>
      </c>
      <c r="FD14" s="53">
        <v>58</v>
      </c>
      <c r="FE14" s="53">
        <v>66</v>
      </c>
      <c r="FF14" s="53">
        <v>72</v>
      </c>
      <c r="FG14" s="53">
        <v>78</v>
      </c>
      <c r="FH14" s="53">
        <v>84</v>
      </c>
      <c r="FI14" s="53">
        <v>90</v>
      </c>
      <c r="FJ14" s="53">
        <v>96</v>
      </c>
      <c r="FK14" s="54">
        <f t="shared" si="103"/>
        <v>4.8871499760772716E-5</v>
      </c>
      <c r="FL14" s="54">
        <f t="shared" si="120"/>
        <v>4.4964907738232019E-5</v>
      </c>
      <c r="FM14" s="54">
        <f t="shared" si="120"/>
        <v>4.1370593041029891E-5</v>
      </c>
      <c r="FN14" s="54">
        <f t="shared" si="120"/>
        <v>3.2221508299050286E-5</v>
      </c>
      <c r="FO14" s="54">
        <f t="shared" si="120"/>
        <v>2.3089685919293032E-5</v>
      </c>
      <c r="FP14" s="54">
        <f t="shared" si="120"/>
        <v>1.7983414106080312E-5</v>
      </c>
      <c r="FQ14" s="54">
        <f t="shared" si="120"/>
        <v>1.6545891983191643E-5</v>
      </c>
      <c r="FR14" s="54">
        <f t="shared" si="120"/>
        <v>1.1856659396596402E-5</v>
      </c>
      <c r="FS14" s="54">
        <f t="shared" si="120"/>
        <v>8.4963912607255122E-6</v>
      </c>
      <c r="FT14" s="54">
        <f t="shared" si="120"/>
        <v>6.6174188329360757E-6</v>
      </c>
      <c r="FU14" s="54">
        <f t="shared" si="120"/>
        <v>6.0884488657956627E-6</v>
      </c>
      <c r="FV14" s="54">
        <f t="shared" si="121"/>
        <v>4.3629357987267566E-6</v>
      </c>
      <c r="FW14" s="54">
        <f t="shared" si="121"/>
        <v>3.1264463582423277E-6</v>
      </c>
      <c r="FX14" s="54">
        <f t="shared" si="121"/>
        <v>2.4350344018209144E-6</v>
      </c>
      <c r="FY14" s="54">
        <f t="shared" si="121"/>
        <v>1.8965278334040604E-6</v>
      </c>
      <c r="FZ14" s="54">
        <f t="shared" si="121"/>
        <v>1.4771117074102141E-6</v>
      </c>
      <c r="GA14" s="54">
        <f t="shared" si="121"/>
        <v>1.1504492355654593E-6</v>
      </c>
      <c r="GB14" s="77">
        <f t="shared" si="121"/>
        <v>8.9602799637521664E-7</v>
      </c>
      <c r="GC14" s="75">
        <f t="array" ref="GC14:GD14">LOGEST(FK14:GB14, ES14:FJ14, TRUE, TRUE)</f>
        <v>0.9591996683334163</v>
      </c>
      <c r="GD14" s="75">
        <v>4.8871499760772723E-5</v>
      </c>
      <c r="GE14" s="2">
        <f t="shared" si="74"/>
        <v>4.1656021043062159E-2</v>
      </c>
      <c r="GF14" s="2">
        <f t="shared" si="65"/>
        <v>16.639783714421505</v>
      </c>
      <c r="GG14" s="2">
        <f>(GF14*DATA!$B$3)/(DATA!$B$3+GF14)</f>
        <v>15.31653607212832</v>
      </c>
      <c r="GH14" s="17">
        <f t="shared" si="66"/>
        <v>1.0799179596751602E-3</v>
      </c>
      <c r="GI14" s="96">
        <f>DATA!$B$6/DW14</f>
        <v>21.483453199499035</v>
      </c>
      <c r="GJ14" s="96"/>
      <c r="GK14" s="2">
        <f t="shared" si="75"/>
        <v>1.1629176040226818E-3</v>
      </c>
      <c r="GL14" s="2">
        <f>GK14*EF14 + GH14*DATA!$B$8</f>
        <v>0.14573818553344398</v>
      </c>
      <c r="GM14" s="96">
        <f>DATA!$B$7/GL14</f>
        <v>13.723239332776243</v>
      </c>
      <c r="GN14" s="96"/>
      <c r="GO14" s="93">
        <f>GI14</f>
        <v>21.483453199499035</v>
      </c>
      <c r="GP14" s="51">
        <f>ROUNDDOWN(GO14*27.027,0)</f>
        <v>580</v>
      </c>
      <c r="GQ14" s="93">
        <f>GM14</f>
        <v>13.723239332776243</v>
      </c>
      <c r="GR14" s="51">
        <f>ROUNDDOWN(GQ14 * 27.027,0)</f>
        <v>370</v>
      </c>
      <c r="GS14" s="1"/>
      <c r="GT14" s="1"/>
      <c r="GU14" s="1"/>
      <c r="GV14" s="57">
        <f t="shared" si="76"/>
        <v>45054.706250000003</v>
      </c>
      <c r="GW14" s="2">
        <f>Y14</f>
        <v>1.9833333333372138</v>
      </c>
      <c r="GX14" s="1"/>
      <c r="GY14" s="2" t="str">
        <f t="shared" si="105"/>
        <v/>
      </c>
      <c r="GZ14" s="2" t="str">
        <f t="shared" si="106"/>
        <v/>
      </c>
      <c r="HA14" s="1"/>
      <c r="HB14" s="1"/>
      <c r="HC14" s="1"/>
      <c r="HD14" s="57">
        <f t="shared" si="147"/>
        <v>45055.354861111111</v>
      </c>
      <c r="HE14" s="2">
        <f>AE14</f>
        <v>17.549999999930151</v>
      </c>
      <c r="HF14" s="1"/>
      <c r="HG14" s="1"/>
      <c r="HH14" s="1"/>
      <c r="HI14" s="57">
        <f t="shared" si="107"/>
        <v>45056.348611111112</v>
      </c>
      <c r="HJ14" s="2">
        <f t="shared" si="108"/>
        <v>41.399999999965075</v>
      </c>
      <c r="HK14" s="1"/>
      <c r="HL14" s="1"/>
      <c r="HM14" s="1"/>
      <c r="HN14" s="57">
        <f t="shared" si="122"/>
        <v>0</v>
      </c>
      <c r="HO14" s="2" t="str">
        <f t="shared" si="123"/>
        <v/>
      </c>
      <c r="HP14" s="1"/>
      <c r="HQ14" s="1"/>
      <c r="HR14" s="1"/>
      <c r="HS14" s="57">
        <f t="shared" si="124"/>
        <v>0</v>
      </c>
      <c r="HT14" s="2" t="str">
        <f t="shared" si="125"/>
        <v/>
      </c>
      <c r="HU14" s="72">
        <f t="shared" si="126"/>
        <v>1.9833333333372138</v>
      </c>
      <c r="HV14" s="72">
        <f t="shared" si="127"/>
        <v>17.549999999930151</v>
      </c>
      <c r="HW14" s="72">
        <f t="shared" si="128"/>
        <v>41.399999999965075</v>
      </c>
      <c r="HX14" s="72" t="str">
        <f t="shared" si="129"/>
        <v/>
      </c>
      <c r="HY14" s="72" t="str">
        <f t="shared" si="130"/>
        <v/>
      </c>
      <c r="HZ14" s="2" t="e">
        <f t="shared" si="131"/>
        <v>#VALUE!</v>
      </c>
      <c r="IA14" s="2" t="e">
        <f t="shared" si="132"/>
        <v>#VALUE!</v>
      </c>
      <c r="IB14" s="2" t="e">
        <f t="shared" si="133"/>
        <v>#VALUE!</v>
      </c>
      <c r="IC14" s="2" t="e">
        <f t="shared" si="134"/>
        <v>#VALUE!</v>
      </c>
      <c r="ID14" s="2" t="e">
        <f t="shared" si="135"/>
        <v>#VALUE!</v>
      </c>
      <c r="IE14" s="14" t="e">
        <f>HZ14*EXP(DATA!$B$4*'Inputs-new'!HU14)</f>
        <v>#VALUE!</v>
      </c>
      <c r="IF14" s="14" t="e">
        <f>IA14*EXP(DATA!$B$4*'Inputs-new'!HV14)</f>
        <v>#VALUE!</v>
      </c>
      <c r="IG14" s="14" t="e">
        <f>IB14*EXP(DATA!$B$4*'Inputs-new'!HW14)</f>
        <v>#VALUE!</v>
      </c>
      <c r="IH14" s="14" t="e">
        <f>IC14*EXP(DATA!$B$4*'Inputs-new'!HX14)</f>
        <v>#VALUE!</v>
      </c>
      <c r="II14" s="14" t="e">
        <f>ID14*EXP(DATA!$B$4*'Inputs-new'!HY14)</f>
        <v>#VALUE!</v>
      </c>
      <c r="IJ14" s="2" t="e">
        <f t="array" ref="IJ14:IK14">LOGEST(IF14:IH14, HV14:HX14, TRUE, FALSE)</f>
        <v>#VALUE!</v>
      </c>
      <c r="IK14" s="2" t="e">
        <v>#VALUE!</v>
      </c>
      <c r="IL14" s="2" t="e">
        <f t="shared" si="136"/>
        <v>#VALUE!</v>
      </c>
      <c r="IM14" s="2" t="e">
        <f t="shared" si="137"/>
        <v>#VALUE!</v>
      </c>
      <c r="IN14" s="2" t="e">
        <f>(IM14*DATA!$B$3)/(DATA!$B$3+'Inputs-new'!IM14)</f>
        <v>#VALUE!</v>
      </c>
      <c r="IO14" s="2" t="e">
        <f t="shared" si="138"/>
        <v>#VALUE!</v>
      </c>
      <c r="IP14" s="2" t="e">
        <f t="shared" si="139"/>
        <v>#VALUE!</v>
      </c>
      <c r="IQ14" s="2" t="e">
        <f t="shared" si="140"/>
        <v>#VALUE!</v>
      </c>
      <c r="IR14" s="2" t="e">
        <f t="shared" si="141"/>
        <v>#VALUE!</v>
      </c>
      <c r="IS14" s="2" t="e">
        <f t="shared" si="142"/>
        <v>#VALUE!</v>
      </c>
      <c r="IT14" s="63" t="e">
        <f t="shared" si="143"/>
        <v>#VALUE!</v>
      </c>
      <c r="IU14" s="2" t="e">
        <f t="shared" si="144"/>
        <v>#VALUE!</v>
      </c>
      <c r="IV14" s="72" t="e">
        <f t="shared" si="145"/>
        <v>#VALUE!</v>
      </c>
    </row>
    <row r="15" spans="1:256" ht="15.75" thickBot="1" x14ac:dyDescent="0.3">
      <c r="A15" s="1">
        <v>14</v>
      </c>
      <c r="B15" s="1"/>
      <c r="C15" s="1" t="s">
        <v>160</v>
      </c>
      <c r="D15" s="46"/>
      <c r="E15" s="1">
        <v>171</v>
      </c>
      <c r="F15" s="1">
        <v>65</v>
      </c>
      <c r="G15" s="2">
        <f t="shared" si="146"/>
        <v>86.033000000000001</v>
      </c>
      <c r="H15" s="1">
        <v>41.38</v>
      </c>
      <c r="I15" s="63">
        <f>Z15*EXP(DATA!$B$4*Y15)</f>
        <v>42.799819832677045</v>
      </c>
      <c r="J15" s="63">
        <f>AA15*EXP(DATA!$B$5*'Inputs-new'!Y15)</f>
        <v>42.799819832677045</v>
      </c>
      <c r="K15" s="1"/>
      <c r="L15" s="48">
        <v>45054.623611111114</v>
      </c>
      <c r="M15" s="48">
        <v>45057.324999999997</v>
      </c>
      <c r="N15" s="1">
        <v>7.26</v>
      </c>
      <c r="O15" s="48">
        <v>45057.63958333333</v>
      </c>
      <c r="P15" s="1">
        <v>200</v>
      </c>
      <c r="Q15" s="1">
        <v>184101.42249999999</v>
      </c>
      <c r="R15" s="1"/>
      <c r="S15" s="2">
        <f t="shared" si="54"/>
        <v>3.6299999999999999E-2</v>
      </c>
      <c r="T15" s="13">
        <f>Q15*EXP((O15-M15)*24*DATA!$B$4)</f>
        <v>193960.10565021707</v>
      </c>
      <c r="U15" s="20">
        <f t="shared" si="55"/>
        <v>5343253.5991795333</v>
      </c>
      <c r="V15" s="48">
        <v>45054.706250000003</v>
      </c>
      <c r="W15" s="1">
        <v>158.9</v>
      </c>
      <c r="X15" s="1">
        <v>265684.77</v>
      </c>
      <c r="Y15" s="19">
        <f t="shared" si="116"/>
        <v>1.9833333333372138</v>
      </c>
      <c r="Z15" s="19">
        <f t="shared" si="0"/>
        <v>42.217309953000004</v>
      </c>
      <c r="AA15" s="17">
        <f>IF(Z15 = "", "", Z15*EXP(Y15*DATA!$B$4)*EXP(-DATA!$B$5*'Inputs-new'!Y15))</f>
        <v>42.495418175929949</v>
      </c>
      <c r="AB15" s="48">
        <v>45055.354861111111</v>
      </c>
      <c r="AC15" s="1">
        <v>89.5</v>
      </c>
      <c r="AD15" s="1">
        <v>223435.23</v>
      </c>
      <c r="AE15" s="19">
        <f>IF(AB15="","",(AB15-$L15)*24)</f>
        <v>17.549999999930151</v>
      </c>
      <c r="AF15" s="19">
        <f>IF(AC15 = "", "", AC15*AD15/1000000)</f>
        <v>19.997453085</v>
      </c>
      <c r="AG15" s="17">
        <f>IF(AF15 = "", "", AF15*EXP(AE15*DATA!$B$4)*EXP(-DATA!$B$5*'Inputs-new'!AE15))</f>
        <v>21.193725833039565</v>
      </c>
      <c r="AH15" s="48">
        <v>45056.348611111112</v>
      </c>
      <c r="AI15" s="1">
        <v>29.1</v>
      </c>
      <c r="AJ15" s="1">
        <v>235485.29</v>
      </c>
      <c r="AK15" s="19">
        <f>IF(AH15="","",(AH15-$L15)*24)</f>
        <v>41.399999999965075</v>
      </c>
      <c r="AL15" s="19">
        <f>IF(AI15 = "", "", AI15*AJ15/1000000)</f>
        <v>6.8526219390000005</v>
      </c>
      <c r="AM15" s="17">
        <f>IF(AL15 = "", "", AL15*EXP(AK15*DATA!$B$4)*EXP(-DATA!$B$5*'Inputs-new'!AK15))</f>
        <v>7.8592280075201977</v>
      </c>
      <c r="AN15" s="1"/>
      <c r="AO15" s="1"/>
      <c r="AP15" s="1"/>
      <c r="AQ15" s="19" t="str">
        <f>IF(AN15="","",(AN15-$L15)*24)</f>
        <v/>
      </c>
      <c r="AR15" s="19" t="str">
        <f t="shared" si="91"/>
        <v/>
      </c>
      <c r="AS15" s="17" t="str">
        <f>IF(AR15 = "", "", AR15*EXP(AQ15*DATA!$B$4)*EXP(-DATA!$B$5*'Inputs-new'!AQ15))</f>
        <v/>
      </c>
      <c r="AT15" s="1"/>
      <c r="AU15" s="1"/>
      <c r="AV15" s="1"/>
      <c r="AW15" s="19" t="str">
        <f t="shared" si="117"/>
        <v/>
      </c>
      <c r="AX15" s="19" t="str">
        <f t="shared" si="118"/>
        <v/>
      </c>
      <c r="AY15" s="17" t="str">
        <f>IF(AX15 = "", "", AX15*EXP(AW15*DATA!$B$4)*EXP(-DATA!$B$5*'Inputs-new'!AW15))</f>
        <v/>
      </c>
      <c r="AZ15" s="80">
        <v>45054.690972222219</v>
      </c>
      <c r="BA15" s="80">
        <v>45057.656944444447</v>
      </c>
      <c r="BB15" s="1">
        <v>5797.518</v>
      </c>
      <c r="BC15" s="63">
        <f>IF(AZ15 = "", "", 24*(AZ15-$L15))</f>
        <v>1.6166666665230878</v>
      </c>
      <c r="BD15" s="12">
        <f>IF(BB15 = "", "", BB15*EXP(DATA!$B$4*(BA15-AZ15)*24))</f>
        <v>9480.7298571541232</v>
      </c>
      <c r="BE15" s="12">
        <f>IF(BD15 = "", "", BD15*EXP(BC15*DATA!$B$4)*EXP(-BC15*DATA!$B$5))</f>
        <v>9531.6073810999005</v>
      </c>
      <c r="BF15" s="14">
        <f t="shared" si="92"/>
        <v>1.77433649389389E-3</v>
      </c>
      <c r="BG15" s="14">
        <f t="shared" si="92"/>
        <v>1.7838583185652084E-3</v>
      </c>
      <c r="BH15" s="16">
        <v>45055.326388888891</v>
      </c>
      <c r="BI15" s="16">
        <v>45057.663194444445</v>
      </c>
      <c r="BJ15" s="1">
        <v>4120.098</v>
      </c>
      <c r="BK15" s="63">
        <f>IF(BH15 = "", "", 24*(BH15-$L15))</f>
        <v>16.866666666639503</v>
      </c>
      <c r="BL15" s="12">
        <f>IF(BJ15 = "", "", BJ15*EXP(DATA!$B$4*(BI15-BH15)*24))</f>
        <v>6070.1116164241857</v>
      </c>
      <c r="BM15" s="12">
        <f>IF(BL15 = "", "", BL15*EXP(BK15*DATA!$B$4)*EXP(-BK15*DATA!$B$5))</f>
        <v>6418.6964145978545</v>
      </c>
      <c r="BN15" s="14">
        <f t="shared" si="93"/>
        <v>1.1360328503510037E-3</v>
      </c>
      <c r="BO15" s="14">
        <f t="shared" si="94"/>
        <v>1.2012711535128067E-3</v>
      </c>
      <c r="BP15" s="16">
        <v>45056.336805555555</v>
      </c>
      <c r="BQ15" s="16">
        <v>45057.669444444444</v>
      </c>
      <c r="BR15" s="1">
        <v>1331.038</v>
      </c>
      <c r="BS15" s="2">
        <f>IF(BP15 = "", "", 24*(BP15-$L15))</f>
        <v>41.116666666581295</v>
      </c>
      <c r="BT15" s="12">
        <f>IF(BR15 = "", "", BR15*EXP(DATA!$B$4*(BQ15-BP15)*24))</f>
        <v>1660.2090232518299</v>
      </c>
      <c r="BU15" s="12">
        <f>IF(BT15 = "", "", BT15*EXP(BS15*DATA!$B$4)*EXP(-BS15*DATA!$B$5))</f>
        <v>1902.2978704638642</v>
      </c>
      <c r="BV15" s="14">
        <f t="shared" si="95"/>
        <v>3.1071125344055503E-4</v>
      </c>
      <c r="BW15" s="2">
        <f t="shared" si="95"/>
        <v>3.5601863829857626E-4</v>
      </c>
      <c r="BX15" s="16"/>
      <c r="BY15" s="16"/>
      <c r="BZ15" s="1"/>
      <c r="CA15" s="12" t="str">
        <f>IF(BX15 = "", "", 24*(BX15-$L15))</f>
        <v/>
      </c>
      <c r="CB15" s="12" t="str">
        <f>IF(BZ15 = "", "", BZ15*EXP(DATA!$B$4*(BY15-BX15)*24))</f>
        <v/>
      </c>
      <c r="CC15" s="12" t="str">
        <f>IF(CB15 = "", "", CB15*EXP(CA15*DATA!$B$4)*EXP(-CA15*DATA!$B$5))</f>
        <v/>
      </c>
      <c r="CD15" s="14" t="e">
        <f t="shared" si="96"/>
        <v>#VALUE!</v>
      </c>
      <c r="CE15" s="60" t="e">
        <f t="shared" si="97"/>
        <v>#VALUE!</v>
      </c>
      <c r="CF15" s="16"/>
      <c r="CG15" s="16"/>
      <c r="CH15" s="1"/>
      <c r="CI15" s="12" t="str">
        <f>IF(CF15 = "", "", 24*(CF15-$L15))</f>
        <v/>
      </c>
      <c r="CJ15" s="12" t="str">
        <f>IF(CH15 = "", "", CH15*EXP(DATA!$B$4*(CG15-CF15)*24))</f>
        <v/>
      </c>
      <c r="CK15" s="12" t="str">
        <f>IF(CJ15 = "", "", CJ15*EXP(CI15*DATA!$B$4)*EXP(-CI15*DATA!$B$5))</f>
        <v/>
      </c>
      <c r="CL15" s="61" t="e">
        <f t="shared" si="98"/>
        <v>#VALUE!</v>
      </c>
      <c r="CM15" s="62" t="e">
        <f t="shared" si="99"/>
        <v>#VALUE!</v>
      </c>
      <c r="CN15" s="41">
        <f t="shared" si="100"/>
        <v>42.495418175929949</v>
      </c>
      <c r="CO15" s="42">
        <f>AG15</f>
        <v>21.193725833039565</v>
      </c>
      <c r="CP15" s="42">
        <f>AM15</f>
        <v>7.8592280075201977</v>
      </c>
      <c r="CQ15" s="42" t="str">
        <f>AS15</f>
        <v/>
      </c>
      <c r="CR15" s="42" t="str">
        <f>AY15</f>
        <v/>
      </c>
      <c r="CS15" s="42">
        <f>Y15</f>
        <v>1.9833333333372138</v>
      </c>
      <c r="CT15" s="42">
        <f>AE15</f>
        <v>17.549999999930151</v>
      </c>
      <c r="CU15" s="42">
        <f>AK15</f>
        <v>41.399999999965075</v>
      </c>
      <c r="CV15" s="42" t="str">
        <f>AQ15</f>
        <v/>
      </c>
      <c r="CW15" s="42" t="str">
        <f>AW15</f>
        <v/>
      </c>
      <c r="CX15" s="75">
        <f t="array" ref="CX15:CY15">LOGEST(CN15:CP15,CS15:CU15,TRUE,TRUE)</f>
        <v>0.95818449730559152</v>
      </c>
      <c r="CY15" s="75">
        <v>45.719171040365914</v>
      </c>
      <c r="CZ15" s="76">
        <v>0</v>
      </c>
      <c r="DA15" s="2">
        <v>2</v>
      </c>
      <c r="DB15" s="2">
        <v>4</v>
      </c>
      <c r="DC15" s="2">
        <v>10</v>
      </c>
      <c r="DD15" s="2">
        <v>18</v>
      </c>
      <c r="DE15" s="2">
        <v>24</v>
      </c>
      <c r="DF15" s="2">
        <v>26</v>
      </c>
      <c r="DG15" s="2">
        <v>34</v>
      </c>
      <c r="DH15" s="2">
        <v>42</v>
      </c>
      <c r="DI15" s="2">
        <v>48</v>
      </c>
      <c r="DJ15" s="2">
        <v>50</v>
      </c>
      <c r="DK15" s="2">
        <v>58</v>
      </c>
      <c r="DL15" s="2">
        <v>66</v>
      </c>
      <c r="DM15" s="2">
        <v>74</v>
      </c>
      <c r="DN15" s="2">
        <f t="shared" si="101"/>
        <v>1.0682094274952996</v>
      </c>
      <c r="DO15" s="2">
        <f t="shared" si="119"/>
        <v>0.9807418020312717</v>
      </c>
      <c r="DP15" s="2">
        <f t="shared" si="119"/>
        <v>0.90043624170858427</v>
      </c>
      <c r="DQ15" s="2">
        <f t="shared" si="119"/>
        <v>0.69686364271122814</v>
      </c>
      <c r="DR15" s="2">
        <f t="shared" si="119"/>
        <v>0.49515472423727469</v>
      </c>
      <c r="DS15" s="2">
        <f t="shared" si="119"/>
        <v>0.38320905895892854</v>
      </c>
      <c r="DT15" s="2">
        <f t="shared" si="119"/>
        <v>0.35183095502098177</v>
      </c>
      <c r="DU15" s="2">
        <f t="shared" si="119"/>
        <v>0.24999260807145024</v>
      </c>
      <c r="DV15" s="2">
        <f t="shared" si="119"/>
        <v>0.17763162450171199</v>
      </c>
      <c r="DW15" s="2">
        <f t="shared" si="119"/>
        <v>0.13747227752194105</v>
      </c>
      <c r="DX15" s="2">
        <f t="shared" si="119"/>
        <v>0.12621570800245047</v>
      </c>
      <c r="DY15" s="2">
        <f t="shared" si="119"/>
        <v>8.968225669977084E-2</v>
      </c>
      <c r="DZ15" s="2">
        <f t="shared" si="119"/>
        <v>6.3723503944591739E-2</v>
      </c>
      <c r="EA15" s="73">
        <f t="shared" si="119"/>
        <v>4.5278576882496931E-2</v>
      </c>
      <c r="EB15" s="75">
        <f t="array" ref="EB15:EC15">LOGEST(DN15:EA15,CZ15:DM15,TRUE,TRUE)</f>
        <v>0.95818449730559152</v>
      </c>
      <c r="EC15" s="75">
        <v>1.0682094274952998</v>
      </c>
      <c r="ED15" s="2">
        <f t="shared" si="2"/>
        <v>4.2714933639584361E-2</v>
      </c>
      <c r="EE15" s="2">
        <f t="shared" si="3"/>
        <v>16.227279817604558</v>
      </c>
      <c r="EF15" s="17">
        <f t="shared" si="4"/>
        <v>25.007868126602432</v>
      </c>
      <c r="EG15" s="2">
        <f t="shared" si="59"/>
        <v>1.7838583185652084E-3</v>
      </c>
      <c r="EH15" s="2">
        <f>BO15</f>
        <v>1.2012711535128067E-3</v>
      </c>
      <c r="EI15" s="2">
        <f t="shared" si="61"/>
        <v>3.5601863829857626E-4</v>
      </c>
      <c r="EJ15" s="2" t="e">
        <f>CE15</f>
        <v>#VALUE!</v>
      </c>
      <c r="EK15" s="2" t="e">
        <f t="shared" si="63"/>
        <v>#VALUE!</v>
      </c>
      <c r="EL15" s="12">
        <f>BC15</f>
        <v>1.6166666665230878</v>
      </c>
      <c r="EM15" s="12">
        <f>BK15</f>
        <v>16.866666666639503</v>
      </c>
      <c r="EN15" s="12">
        <f>BS15</f>
        <v>41.116666666581295</v>
      </c>
      <c r="EO15" s="12" t="str">
        <f>CA15</f>
        <v/>
      </c>
      <c r="EP15" s="12" t="str">
        <f>CI15</f>
        <v/>
      </c>
      <c r="EQ15" s="35">
        <f t="array" ref="EQ15:ER15">LOGEST(EG15:EI15, EL15:EN15, TRUE, TRUE)</f>
        <v>0.9591996683334163</v>
      </c>
      <c r="ER15" s="35">
        <v>2.0904134187697773E-3</v>
      </c>
      <c r="ES15" s="53">
        <v>0</v>
      </c>
      <c r="ET15" s="53">
        <v>2</v>
      </c>
      <c r="EU15" s="53">
        <v>4</v>
      </c>
      <c r="EV15" s="53">
        <v>10</v>
      </c>
      <c r="EW15" s="53">
        <v>18</v>
      </c>
      <c r="EX15" s="53">
        <v>24</v>
      </c>
      <c r="EY15" s="53">
        <v>26</v>
      </c>
      <c r="EZ15" s="53">
        <v>34</v>
      </c>
      <c r="FA15" s="53">
        <v>42</v>
      </c>
      <c r="FB15" s="53">
        <v>48</v>
      </c>
      <c r="FC15" s="53">
        <v>50</v>
      </c>
      <c r="FD15" s="53">
        <v>58</v>
      </c>
      <c r="FE15" s="53">
        <v>66</v>
      </c>
      <c r="FF15" s="53">
        <v>72</v>
      </c>
      <c r="FG15" s="53">
        <v>78</v>
      </c>
      <c r="FH15" s="53">
        <v>84</v>
      </c>
      <c r="FI15" s="53">
        <v>90</v>
      </c>
      <c r="FJ15" s="53">
        <v>96</v>
      </c>
      <c r="FK15" s="54">
        <f t="shared" si="103"/>
        <v>4.8841640617696635E-5</v>
      </c>
      <c r="FL15" s="54">
        <f t="shared" si="120"/>
        <v>4.493743541550547E-5</v>
      </c>
      <c r="FM15" s="54">
        <f t="shared" si="120"/>
        <v>4.1345316745790314E-5</v>
      </c>
      <c r="FN15" s="54">
        <f t="shared" si="120"/>
        <v>3.2201821843117112E-5</v>
      </c>
      <c r="FO15" s="54">
        <f t="shared" si="120"/>
        <v>2.3075578755837426E-5</v>
      </c>
      <c r="FP15" s="54">
        <f t="shared" si="120"/>
        <v>1.7972426734352038E-5</v>
      </c>
      <c r="FQ15" s="54">
        <f t="shared" si="120"/>
        <v>1.6535782897968846E-5</v>
      </c>
      <c r="FR15" s="54">
        <f t="shared" si="120"/>
        <v>1.1849415303596181E-5</v>
      </c>
      <c r="FS15" s="54">
        <f t="shared" si="120"/>
        <v>8.491200199196275E-6</v>
      </c>
      <c r="FT15" s="54">
        <f t="shared" si="120"/>
        <v>6.613375771914945E-6</v>
      </c>
      <c r="FU15" s="54">
        <f t="shared" si="120"/>
        <v>6.0847289908852332E-6</v>
      </c>
      <c r="FV15" s="54">
        <f t="shared" si="121"/>
        <v>4.3602701648730057E-6</v>
      </c>
      <c r="FW15" s="54">
        <f t="shared" si="121"/>
        <v>3.1245361854506717E-6</v>
      </c>
      <c r="FX15" s="54">
        <f t="shared" si="121"/>
        <v>2.4335466627305436E-6</v>
      </c>
      <c r="FY15" s="54">
        <f t="shared" si="121"/>
        <v>1.8953691070256481E-6</v>
      </c>
      <c r="FZ15" s="54">
        <f t="shared" si="121"/>
        <v>1.4762092327567492E-6</v>
      </c>
      <c r="GA15" s="54">
        <f t="shared" si="121"/>
        <v>1.1497463427036755E-6</v>
      </c>
      <c r="GB15" s="77">
        <f t="shared" si="121"/>
        <v>8.9548054789757826E-7</v>
      </c>
      <c r="GC15" s="75">
        <f t="array" ref="GC15:GD15">LOGEST(FK15:GB15, ES15:FJ15, TRUE, TRUE)</f>
        <v>0.9591996683334163</v>
      </c>
      <c r="GD15" s="75">
        <v>4.8841640617696642E-5</v>
      </c>
      <c r="GE15" s="2">
        <f t="shared" si="74"/>
        <v>4.1656021043062152E-2</v>
      </c>
      <c r="GF15" s="2">
        <f t="shared" si="65"/>
        <v>16.639783714421508</v>
      </c>
      <c r="GG15" s="2">
        <f>(GF15*DATA!$B$3)/(DATA!$B$3+GF15)</f>
        <v>15.316536072128324</v>
      </c>
      <c r="GH15" s="17">
        <f t="shared" si="66"/>
        <v>1.0792581594843292E-3</v>
      </c>
      <c r="GI15" s="96">
        <f>DATA!$B$6/DW15</f>
        <v>21.531613888680749</v>
      </c>
      <c r="GJ15" s="96"/>
      <c r="GK15" s="2">
        <f t="shared" si="75"/>
        <v>1.1629176040226818E-3</v>
      </c>
      <c r="GL15" s="2">
        <f>GK15*EF15 + GH15*DATA!$B$8</f>
        <v>0.14564197130781123</v>
      </c>
      <c r="GM15" s="96">
        <f>DATA!$B$7/GL15</f>
        <v>13.732305200490883</v>
      </c>
      <c r="GN15" s="96"/>
      <c r="GO15" s="93">
        <f>GI15</f>
        <v>21.531613888680749</v>
      </c>
      <c r="GP15" s="51">
        <f>ROUNDDOWN(GO15*27.027,0)</f>
        <v>581</v>
      </c>
      <c r="GQ15" s="93">
        <f>GM15</f>
        <v>13.732305200490883</v>
      </c>
      <c r="GR15" s="51">
        <f>ROUNDDOWN(GQ15 * 27.027,0)</f>
        <v>371</v>
      </c>
      <c r="GS15" s="1"/>
      <c r="GT15" s="1"/>
      <c r="GU15" s="1"/>
      <c r="GV15" s="57">
        <f t="shared" si="76"/>
        <v>45054.706250000003</v>
      </c>
      <c r="GW15" s="2">
        <f>Y15</f>
        <v>1.9833333333372138</v>
      </c>
      <c r="GX15" s="1"/>
      <c r="GY15" s="2" t="str">
        <f t="shared" si="105"/>
        <v/>
      </c>
      <c r="GZ15" s="2" t="str">
        <f t="shared" si="106"/>
        <v/>
      </c>
      <c r="HA15" s="1"/>
      <c r="HB15" s="1"/>
      <c r="HC15" s="1"/>
      <c r="HD15" s="57">
        <f t="shared" si="147"/>
        <v>45055.354861111111</v>
      </c>
      <c r="HE15" s="2">
        <f>AE15</f>
        <v>17.549999999930151</v>
      </c>
      <c r="HF15" s="1"/>
      <c r="HG15" s="1"/>
      <c r="HH15" s="1"/>
      <c r="HI15" s="57">
        <f t="shared" si="107"/>
        <v>45056.348611111112</v>
      </c>
      <c r="HJ15" s="2">
        <f t="shared" si="108"/>
        <v>41.399999999965075</v>
      </c>
      <c r="HK15" s="1"/>
      <c r="HL15" s="1"/>
      <c r="HM15" s="1"/>
      <c r="HN15" s="57">
        <f t="shared" si="122"/>
        <v>0</v>
      </c>
      <c r="HO15" s="2" t="str">
        <f t="shared" si="123"/>
        <v/>
      </c>
      <c r="HP15" s="1"/>
      <c r="HQ15" s="1"/>
      <c r="HR15" s="1"/>
      <c r="HS15" s="57">
        <f t="shared" si="124"/>
        <v>0</v>
      </c>
      <c r="HT15" s="2" t="str">
        <f t="shared" si="125"/>
        <v/>
      </c>
      <c r="HU15" s="72">
        <f t="shared" si="126"/>
        <v>1.9833333333372138</v>
      </c>
      <c r="HV15" s="72">
        <f t="shared" si="127"/>
        <v>17.549999999930151</v>
      </c>
      <c r="HW15" s="72">
        <f t="shared" si="128"/>
        <v>41.399999999965075</v>
      </c>
      <c r="HX15" s="72" t="str">
        <f t="shared" si="129"/>
        <v/>
      </c>
      <c r="HY15" s="72" t="str">
        <f t="shared" si="130"/>
        <v/>
      </c>
      <c r="HZ15" s="2" t="e">
        <f t="shared" si="131"/>
        <v>#VALUE!</v>
      </c>
      <c r="IA15" s="2" t="e">
        <f t="shared" si="132"/>
        <v>#VALUE!</v>
      </c>
      <c r="IB15" s="2" t="e">
        <f t="shared" si="133"/>
        <v>#VALUE!</v>
      </c>
      <c r="IC15" s="2" t="e">
        <f t="shared" si="134"/>
        <v>#VALUE!</v>
      </c>
      <c r="ID15" s="2" t="e">
        <f t="shared" si="135"/>
        <v>#VALUE!</v>
      </c>
      <c r="IE15" s="14" t="e">
        <f>HZ15*EXP(DATA!$B$4*'Inputs-new'!HU15)</f>
        <v>#VALUE!</v>
      </c>
      <c r="IF15" s="14" t="e">
        <f>IA15*EXP(DATA!$B$4*'Inputs-new'!HV15)</f>
        <v>#VALUE!</v>
      </c>
      <c r="IG15" s="14" t="e">
        <f>IB15*EXP(DATA!$B$4*'Inputs-new'!HW15)</f>
        <v>#VALUE!</v>
      </c>
      <c r="IH15" s="14" t="e">
        <f>IC15*EXP(DATA!$B$4*'Inputs-new'!HX15)</f>
        <v>#VALUE!</v>
      </c>
      <c r="II15" s="14" t="e">
        <f>ID15*EXP(DATA!$B$4*'Inputs-new'!HY15)</f>
        <v>#VALUE!</v>
      </c>
      <c r="IJ15" s="2" t="e">
        <f t="array" ref="IJ15:IK15">LOGEST(IF15:IH15, HV15:HX15, TRUE, FALSE)</f>
        <v>#VALUE!</v>
      </c>
      <c r="IK15" s="2" t="e">
        <v>#VALUE!</v>
      </c>
      <c r="IL15" s="2" t="e">
        <f t="shared" si="136"/>
        <v>#VALUE!</v>
      </c>
      <c r="IM15" s="2" t="e">
        <f t="shared" si="137"/>
        <v>#VALUE!</v>
      </c>
      <c r="IN15" s="2" t="e">
        <f>(IM15*DATA!$B$3)/(DATA!$B$3+'Inputs-new'!IM15)</f>
        <v>#VALUE!</v>
      </c>
      <c r="IO15" s="2" t="e">
        <f t="shared" si="138"/>
        <v>#VALUE!</v>
      </c>
      <c r="IP15" s="2" t="e">
        <f t="shared" si="139"/>
        <v>#VALUE!</v>
      </c>
      <c r="IQ15" s="2" t="e">
        <f t="shared" si="140"/>
        <v>#VALUE!</v>
      </c>
      <c r="IR15" s="2" t="e">
        <f t="shared" si="141"/>
        <v>#VALUE!</v>
      </c>
      <c r="IS15" s="2" t="e">
        <f t="shared" si="142"/>
        <v>#VALUE!</v>
      </c>
      <c r="IT15" s="63" t="e">
        <f t="shared" si="143"/>
        <v>#VALUE!</v>
      </c>
      <c r="IU15" s="2" t="e">
        <f t="shared" si="144"/>
        <v>#VALUE!</v>
      </c>
      <c r="IV15" s="72" t="e">
        <f t="shared" si="145"/>
        <v>#VALUE!</v>
      </c>
    </row>
    <row r="16" spans="1:256" ht="15.75" thickBot="1" x14ac:dyDescent="0.3">
      <c r="A16" s="1">
        <v>15</v>
      </c>
      <c r="B16" s="1"/>
      <c r="C16" s="1" t="s">
        <v>160</v>
      </c>
      <c r="D16" s="46"/>
      <c r="E16" s="1">
        <v>159</v>
      </c>
      <c r="F16" s="1">
        <v>75.5</v>
      </c>
      <c r="G16" s="2">
        <f t="shared" si="146"/>
        <v>71.069000000000003</v>
      </c>
      <c r="H16" s="1">
        <v>62.14</v>
      </c>
      <c r="I16" s="63">
        <f>Z16*EXP(DATA!$B$4*Y16)</f>
        <v>60.702394317279214</v>
      </c>
      <c r="J16" s="63">
        <f>AA16*EXP(DATA!$B$5*'Inputs-new'!Y16)</f>
        <v>60.702394317279214</v>
      </c>
      <c r="K16" s="1"/>
      <c r="L16" s="48">
        <v>45264.615277777775</v>
      </c>
      <c r="M16" s="48">
        <v>45265.432638888888</v>
      </c>
      <c r="N16" s="1">
        <v>9.6300000000000008</v>
      </c>
      <c r="O16" s="48">
        <v>45267.423611111109</v>
      </c>
      <c r="P16" s="1">
        <v>200</v>
      </c>
      <c r="Q16" s="1">
        <v>306837.78000000003</v>
      </c>
      <c r="R16" s="1"/>
      <c r="S16" s="2">
        <f>N16/P16</f>
        <v>4.8150000000000005E-2</v>
      </c>
      <c r="T16" s="13">
        <f>Q16*EXP((O16-M16)*24*DATA!$B$4)</f>
        <v>426866.59661608096</v>
      </c>
      <c r="U16" s="20">
        <f>T16/S16</f>
        <v>8865349.8778002262</v>
      </c>
      <c r="V16" s="48">
        <v>45264.691666666666</v>
      </c>
      <c r="W16" s="1">
        <v>289.3</v>
      </c>
      <c r="X16" s="82">
        <v>207183.95</v>
      </c>
      <c r="Y16" s="19">
        <f>IF(V16="","",(V16-$L16)*24)</f>
        <v>1.8333333333721384</v>
      </c>
      <c r="Z16" s="19">
        <f>IF(W16 = "", "", W16*X16/1000000)</f>
        <v>59.938316735000008</v>
      </c>
      <c r="AA16" s="17">
        <f>IF(Z16 = "", "", Z16*EXP(Y16*DATA!$B$4)*EXP(-DATA!$B$5*'Inputs-new'!Y16))</f>
        <v>60.303209786907296</v>
      </c>
      <c r="AB16" s="48">
        <v>45265.326388888891</v>
      </c>
      <c r="AC16" s="1">
        <v>132.9</v>
      </c>
      <c r="AD16" s="1">
        <v>220879.81</v>
      </c>
      <c r="AE16" s="19">
        <f>IF(AB16="","",(AB16-$L16)*24)</f>
        <v>17.06666666676756</v>
      </c>
      <c r="AF16" s="19">
        <f>IF(AC16 = "", "", AC16*AD16/1000000)</f>
        <v>29.354926749000001</v>
      </c>
      <c r="AG16" s="17">
        <f>IF(AF16 = "", "", AF16*EXP(AE16*DATA!$B$4)*EXP(-DATA!$B$5*'Inputs-new'!AE16))</f>
        <v>31.061234381064992</v>
      </c>
      <c r="AH16" s="48">
        <v>45266.34652777778</v>
      </c>
      <c r="AI16" s="1">
        <v>83.1</v>
      </c>
      <c r="AJ16" s="1">
        <v>197904.34</v>
      </c>
      <c r="AK16" s="19">
        <f>IF(AH16="","",(AH16-$L16)*24)</f>
        <v>41.550000000104774</v>
      </c>
      <c r="AL16" s="19">
        <f>IF(AI16 = "", "", AI16*AJ16/1000000)</f>
        <v>16.445850654000001</v>
      </c>
      <c r="AM16" s="17">
        <f>IF(AL16 = "", "", AL16*EXP(AK16*DATA!$B$4)*EXP(-DATA!$B$5*'Inputs-new'!AK16))</f>
        <v>18.871008996473687</v>
      </c>
      <c r="AN16" s="48">
        <v>45267.352777777778</v>
      </c>
      <c r="AO16" s="1">
        <v>55.5</v>
      </c>
      <c r="AP16" s="1">
        <v>187894.05</v>
      </c>
      <c r="AQ16" s="19">
        <f>IF(AN16="","",(AN16-$L16)*24)</f>
        <v>65.700000000069849</v>
      </c>
      <c r="AR16" s="19">
        <f>IF(AO16 = "", "", AO16*AP16/1000000)</f>
        <v>10.428119774999999</v>
      </c>
      <c r="AS16" s="17">
        <f>IF(AR16 = "", "", AR16*EXP(AQ16*DATA!$B$4)*EXP(-DATA!$B$5*'Inputs-new'!AQ16))</f>
        <v>12.961838561956359</v>
      </c>
      <c r="AT16" s="1"/>
      <c r="AU16" s="1"/>
      <c r="AV16" s="1"/>
      <c r="AW16" s="19" t="str">
        <f t="shared" si="117"/>
        <v/>
      </c>
      <c r="AX16" s="19" t="str">
        <f t="shared" si="118"/>
        <v/>
      </c>
      <c r="AY16" s="17" t="str">
        <f>IF(AX16 = "", "", AX16*EXP(AW16*DATA!$B$4)*EXP(-DATA!$B$5*'Inputs-new'!AW16))</f>
        <v/>
      </c>
      <c r="AZ16" s="80">
        <v>45264.677083333336</v>
      </c>
      <c r="BA16" s="80">
        <v>45267.368055555555</v>
      </c>
      <c r="BB16" s="1">
        <v>21910.834999999999</v>
      </c>
      <c r="BC16" s="63">
        <f>IF(AZ16 = "", "", 24*(AZ16-$L16))</f>
        <v>1.4833333334536292</v>
      </c>
      <c r="BD16" s="12">
        <f>IF(BB16 = "", "", BB16*EXP(DATA!$B$4*(BA16-AZ16)*24))</f>
        <v>34233.71176424381</v>
      </c>
      <c r="BE16" s="12">
        <f>IF(BD16 = "", "", BD16*EXP(BC16*DATA!$B$4)*EXP(-BC16*DATA!$B$5))</f>
        <v>34402.235285545794</v>
      </c>
      <c r="BF16" s="14">
        <f>BD16*$S16/$T16</f>
        <v>3.8615184100030437E-3</v>
      </c>
      <c r="BG16" s="14">
        <f>BE16*$S16/$T16</f>
        <v>3.8805276452419132E-3</v>
      </c>
      <c r="BH16" s="16">
        <v>45265.311111111114</v>
      </c>
      <c r="BI16" s="16">
        <v>45267.381944444445</v>
      </c>
      <c r="BJ16" s="1">
        <v>8969.5</v>
      </c>
      <c r="BK16" s="63">
        <f>IF(BH16 = "", "", 24*(BH16-$L16))</f>
        <v>16.700000000128057</v>
      </c>
      <c r="BL16" s="12">
        <f>IF(BJ16 = "", "", BJ16*EXP(DATA!$B$4*(BI16-BH16)*24))</f>
        <v>12644.536403153837</v>
      </c>
      <c r="BM16" s="12">
        <f>IF(BL16 = "", "", BL16*EXP(BK16*DATA!$B$4)*EXP(-BK16*DATA!$B$5))</f>
        <v>13363.291544505688</v>
      </c>
      <c r="BN16" s="14">
        <f>BL16*$S16/$T16</f>
        <v>1.4262873521570867E-3</v>
      </c>
      <c r="BO16" s="14">
        <f>BM16*($S16/$T16)</f>
        <v>1.5073620024821336E-3</v>
      </c>
      <c r="BP16" s="16">
        <v>45266.354166666664</v>
      </c>
      <c r="BQ16" s="16">
        <v>45267.395833333336</v>
      </c>
      <c r="BR16" s="1">
        <v>6252.4624999999996</v>
      </c>
      <c r="BS16" s="2">
        <f>IF(BP16 = "", "", 24*(BP16-$L16))</f>
        <v>41.733333333337214</v>
      </c>
      <c r="BT16" s="12">
        <f>IF(BR16 = "", "", BR16*EXP(DATA!$B$4*(BQ16-BP16)*24))</f>
        <v>7431.3640771524733</v>
      </c>
      <c r="BU16" s="12">
        <f>IF(BT16 = "", "", BT16*EXP(BS16*DATA!$B$4)*EXP(-BS16*DATA!$B$5))</f>
        <v>8532.3941061336318</v>
      </c>
      <c r="BV16" s="14">
        <f>BT16*$S16/$T16</f>
        <v>8.3824825636734249E-4</v>
      </c>
      <c r="BW16" s="2">
        <f>BU16*$S16/$T16</f>
        <v>9.6244301959245277E-4</v>
      </c>
      <c r="BX16" s="16">
        <v>45267.314583333333</v>
      </c>
      <c r="BY16" s="16">
        <v>45267.409722222219</v>
      </c>
      <c r="BZ16" s="1">
        <v>5409.22</v>
      </c>
      <c r="CA16" s="12">
        <f>IF(BX16 = "", "", 24*(BX16-$L16))</f>
        <v>64.78333333338378</v>
      </c>
      <c r="CB16" s="12">
        <f>IF(BZ16 = "", "", BZ16*EXP(DATA!$B$4*(BY16-BX16)*24))</f>
        <v>5495.2346051173636</v>
      </c>
      <c r="CC16" s="12">
        <f>IF(CB16 = "", "", CB16*EXP(CA16*DATA!$B$4)*EXP(-CA16*DATA!$B$5))</f>
        <v>6809.7143099080222</v>
      </c>
      <c r="CD16" s="14">
        <f>CB16*$S16/$T16</f>
        <v>6.1985535606192061E-4</v>
      </c>
      <c r="CE16" s="60">
        <f>CC16*($S16/$T16)</f>
        <v>7.681269666480131E-4</v>
      </c>
      <c r="CF16" s="16"/>
      <c r="CG16" s="16"/>
      <c r="CH16" s="1"/>
      <c r="CI16" s="12" t="str">
        <f>IF(CF16 = "", "", 24*(CF16-$L16))</f>
        <v/>
      </c>
      <c r="CJ16" s="12" t="str">
        <f>IF(CH16 = "", "", CH16*EXP(DATA!$B$4*(CG16-CF16)*24))</f>
        <v/>
      </c>
      <c r="CK16" s="12" t="str">
        <f>IF(CJ16 = "", "", CJ16*EXP(CI16*DATA!$B$4)*EXP(-CI16*DATA!$B$5))</f>
        <v/>
      </c>
      <c r="CL16" s="61" t="e">
        <f>CJ16*$S16/$T16</f>
        <v>#VALUE!</v>
      </c>
      <c r="CM16" s="62" t="e">
        <f>CK16*($S16/$T16)</f>
        <v>#VALUE!</v>
      </c>
      <c r="CN16" s="41">
        <f t="shared" ref="CN16:CN18" si="148">AA16</f>
        <v>60.303209786907296</v>
      </c>
      <c r="CO16" s="42">
        <f t="shared" ref="CO16:CO18" si="149">AG16</f>
        <v>31.061234381064992</v>
      </c>
      <c r="CP16" s="42">
        <f t="shared" ref="CP16:CP18" si="150">AM16</f>
        <v>18.871008996473687</v>
      </c>
      <c r="CQ16" s="42">
        <f t="shared" ref="CQ16:CQ18" si="151">AS16</f>
        <v>12.961838561956359</v>
      </c>
      <c r="CR16" s="42" t="str">
        <f t="shared" ref="CR16:CR18" si="152">AY16</f>
        <v/>
      </c>
      <c r="CS16" s="42">
        <f t="shared" ref="CS16:CS18" si="153">Y16</f>
        <v>1.8333333333721384</v>
      </c>
      <c r="CT16" s="42">
        <f t="shared" ref="CT16:CT18" si="154">AE16</f>
        <v>17.06666666676756</v>
      </c>
      <c r="CU16" s="42">
        <f t="shared" ref="CU16:CU18" si="155">AK16</f>
        <v>41.550000000104774</v>
      </c>
      <c r="CV16" s="42">
        <f t="shared" ref="CV16:CV18" si="156">AQ16</f>
        <v>65.700000000069849</v>
      </c>
      <c r="CW16" s="42" t="str">
        <f t="shared" ref="CW16:CW18" si="157">AW16</f>
        <v/>
      </c>
      <c r="CX16" s="75">
        <f t="array" ref="CX16:CY16">LOGEST(CN16:CP16,CS16:CU16,TRUE,TRUE)</f>
        <v>0.97198520151529832</v>
      </c>
      <c r="CY16" s="75">
        <v>58.18031690266222</v>
      </c>
      <c r="CZ16" s="76">
        <v>0</v>
      </c>
      <c r="DA16" s="2">
        <v>2</v>
      </c>
      <c r="DB16" s="2">
        <v>4</v>
      </c>
      <c r="DC16" s="2">
        <v>10</v>
      </c>
      <c r="DD16" s="2">
        <v>18</v>
      </c>
      <c r="DE16" s="2">
        <v>24</v>
      </c>
      <c r="DF16" s="2">
        <v>26</v>
      </c>
      <c r="DG16" s="2">
        <v>34</v>
      </c>
      <c r="DH16" s="2">
        <v>42</v>
      </c>
      <c r="DI16" s="2">
        <v>48</v>
      </c>
      <c r="DJ16" s="2">
        <v>50</v>
      </c>
      <c r="DK16" s="2">
        <v>58</v>
      </c>
      <c r="DL16" s="2">
        <v>66</v>
      </c>
      <c r="DM16" s="2">
        <v>74</v>
      </c>
      <c r="DN16" s="2">
        <f t="shared" ref="DN16:DN18" si="158">($CY16*$CX16^CZ16)/$J16</f>
        <v>0.95845176383925479</v>
      </c>
      <c r="DO16" s="2">
        <f t="shared" ref="DO16:DO18" si="159">($CY16*$CX16^DA16)/$J16</f>
        <v>0.9055023184729647</v>
      </c>
      <c r="DP16" s="2">
        <f t="shared" ref="DP16:DP18" si="160">($CY16*$CX16^DB16)/$J16</f>
        <v>0.85547805293353119</v>
      </c>
      <c r="DQ16" s="2">
        <f t="shared" ref="DQ16:DQ18" si="161">($CY16*$CX16^DC16)/$J16</f>
        <v>0.72138447127896665</v>
      </c>
      <c r="DR16" s="2">
        <f t="shared" ref="DR16:DR18" si="162">($CY16*$CX16^DD16)/$J16</f>
        <v>0.57470372497778599</v>
      </c>
      <c r="DS16" s="2">
        <f t="shared" ref="DS16:DS18" si="163">($CY16*$CX16^DE16)/$J16</f>
        <v>0.48462066485925964</v>
      </c>
      <c r="DT16" s="2">
        <f t="shared" ref="DT16:DT18" si="164">($CY16*$CX16^DF16)/$J16</f>
        <v>0.45784790864401403</v>
      </c>
      <c r="DU16" s="2">
        <f t="shared" ref="DU16:DU18" si="165">($CY16*$CX16^DG16)/$J16</f>
        <v>0.3647526513905926</v>
      </c>
      <c r="DV16" s="2">
        <f t="shared" ref="DV16:DV18" si="166">($CY16*$CX16^DH16)/$J16</f>
        <v>0.29058666466447047</v>
      </c>
      <c r="DW16" s="2">
        <f t="shared" ref="DW16:DW18" si="167">($CY16*$CX16^DI16)/$J16</f>
        <v>0.24503808920739759</v>
      </c>
      <c r="DX16" s="2">
        <f t="shared" ref="DX16:DX18" si="168">($CY16*$CX16^DJ16)/$J16</f>
        <v>0.23150101680933036</v>
      </c>
      <c r="DY16" s="2">
        <f t="shared" ref="DY16:DY18" si="169">($CY16*$CX16^DK16)/$J16</f>
        <v>0.18442938820208896</v>
      </c>
      <c r="DZ16" s="2">
        <f t="shared" ref="DZ16:DZ18" si="170">($CY16*$CX16^DL16)/$J16</f>
        <v>0.14692894096707879</v>
      </c>
      <c r="EA16" s="73">
        <f t="shared" ref="EA16:EA18" si="171">($CY16*$CX16^DM16)/$J16</f>
        <v>0.11705354501340158</v>
      </c>
      <c r="EB16" s="75">
        <f t="array" ref="EB16:EC16">LOGEST(DN16:EA16,CZ16:DM16,TRUE,TRUE)</f>
        <v>0.97198520151529832</v>
      </c>
      <c r="EC16" s="75">
        <v>0.95845176383925446</v>
      </c>
      <c r="ED16" s="2">
        <f t="shared" ref="ED16:ED18" si="172">-LN(DW16/DN16)/DI16</f>
        <v>2.8414699416095767E-2</v>
      </c>
      <c r="EE16" s="2">
        <f t="shared" ref="EE16:EE18" si="173">LN(2)/ED16</f>
        <v>24.393964912657346</v>
      </c>
      <c r="EF16" s="17">
        <f t="shared" ref="EF16:EF18" si="174">(EC16*EE16)/LN(2)</f>
        <v>33.730842962791669</v>
      </c>
      <c r="EG16" s="2">
        <f t="shared" ref="EG16:EG18" si="175">BG16</f>
        <v>3.8805276452419132E-3</v>
      </c>
      <c r="EH16" s="2">
        <f t="shared" ref="EH16:EH18" si="176">BO16</f>
        <v>1.5073620024821336E-3</v>
      </c>
      <c r="EI16" s="2">
        <f t="shared" ref="EI16:EI18" si="177">BW16</f>
        <v>9.6244301959245277E-4</v>
      </c>
      <c r="EJ16" s="2">
        <f t="shared" ref="EJ16:EJ18" si="178">CE16</f>
        <v>7.681269666480131E-4</v>
      </c>
      <c r="EK16" s="2" t="e">
        <f t="shared" ref="EK16:EK18" si="179">CM16</f>
        <v>#VALUE!</v>
      </c>
      <c r="EL16" s="12">
        <f t="shared" ref="EL16:EL18" si="180">BC16</f>
        <v>1.4833333334536292</v>
      </c>
      <c r="EM16" s="12">
        <f t="shared" ref="EM16:EM18" si="181">BK16</f>
        <v>16.700000000128057</v>
      </c>
      <c r="EN16" s="12">
        <f t="shared" ref="EN16:EN18" si="182">BS16</f>
        <v>41.733333333337214</v>
      </c>
      <c r="EO16" s="12">
        <f t="shared" ref="EO16:EO18" si="183">CA16</f>
        <v>64.78333333338378</v>
      </c>
      <c r="EP16" s="12" t="str">
        <f t="shared" ref="EP16:EP18" si="184">CI16</f>
        <v/>
      </c>
      <c r="EQ16" s="35">
        <f t="array" ref="EQ16:ER16">LOGEST(EG16:EI16, EL16:EN16, TRUE, TRUE)</f>
        <v>0.96755593214030766</v>
      </c>
      <c r="ER16" s="35">
        <v>3.4374915410223393E-3</v>
      </c>
      <c r="ES16" s="53">
        <v>0</v>
      </c>
      <c r="ET16" s="53">
        <v>2</v>
      </c>
      <c r="EU16" s="53">
        <v>4</v>
      </c>
      <c r="EV16" s="53">
        <v>10</v>
      </c>
      <c r="EW16" s="53">
        <v>18</v>
      </c>
      <c r="EX16" s="53">
        <v>24</v>
      </c>
      <c r="EY16" s="53">
        <v>26</v>
      </c>
      <c r="EZ16" s="53">
        <v>34</v>
      </c>
      <c r="FA16" s="53">
        <v>42</v>
      </c>
      <c r="FB16" s="53">
        <v>48</v>
      </c>
      <c r="FC16" s="53">
        <v>50</v>
      </c>
      <c r="FD16" s="53">
        <v>58</v>
      </c>
      <c r="FE16" s="53">
        <v>66</v>
      </c>
      <c r="FF16" s="53">
        <v>72</v>
      </c>
      <c r="FG16" s="53">
        <v>78</v>
      </c>
      <c r="FH16" s="53">
        <v>84</v>
      </c>
      <c r="FI16" s="53">
        <v>90</v>
      </c>
      <c r="FJ16" s="53">
        <v>96</v>
      </c>
      <c r="FK16" s="54">
        <f t="shared" ref="FK16:FK18" si="185">($ER16*$EQ16^ES16)/$I16</f>
        <v>5.662859891580655E-5</v>
      </c>
      <c r="FL16" s="54">
        <f t="shared" ref="FL16:FL18" si="186">($ER16*$EQ16^ET16)/$I16</f>
        <v>5.3013682960202967E-5</v>
      </c>
      <c r="FM16" s="54">
        <f t="shared" ref="FM16:FM18" si="187">($ER16*$EQ16^EU16)/$I16</f>
        <v>4.9629527037802854E-5</v>
      </c>
      <c r="FN16" s="54">
        <f t="shared" ref="FN16:FN18" si="188">($ER16*$EQ16^EV16)/$I16</f>
        <v>4.0718954284684652E-5</v>
      </c>
      <c r="FO16" s="54">
        <f t="shared" ref="FO16:FO18" si="189">($ER16*$EQ16^EW16)/$I16</f>
        <v>3.1275571615782927E-5</v>
      </c>
      <c r="FP16" s="54">
        <f t="shared" ref="FP16:FP18" si="190">($ER16*$EQ16^EX16)/$I16</f>
        <v>2.5660300366763791E-5</v>
      </c>
      <c r="FQ16" s="54">
        <f t="shared" ref="FQ16:FQ18" si="191">($ER16*$EQ16^EY16)/$I16</f>
        <v>2.4022261796194405E-5</v>
      </c>
      <c r="FR16" s="54">
        <f t="shared" ref="FR16:FR18" si="192">($ER16*$EQ16^EZ16)/$I16</f>
        <v>1.8451111586196839E-5</v>
      </c>
      <c r="FS16" s="54">
        <f t="shared" ref="FS16:FS18" si="193">($ER16*$EQ16^FA16)/$I16</f>
        <v>1.4172001023659646E-5</v>
      </c>
      <c r="FT16" s="54">
        <f t="shared" ref="FT16:FT18" si="194">($ER16*$EQ16^FB16)/$I16</f>
        <v>1.1627534982659563E-5</v>
      </c>
      <c r="FU16" s="54">
        <f t="shared" ref="FU16:FU18" si="195">($ER16*$EQ16^FC16)/$I16</f>
        <v>1.0885285261884247E-5</v>
      </c>
      <c r="FV16" s="54">
        <f t="shared" ref="FV16:FV18" si="196">($ER16*$EQ16^FD16)/$I16</f>
        <v>8.3608119301417293E-6</v>
      </c>
      <c r="FW16" s="54">
        <f t="shared" ref="FW16:FW18" si="197">($ER16*$EQ16^FE16)/$I16</f>
        <v>6.4218047069443553E-6</v>
      </c>
      <c r="FX16" s="54">
        <f t="shared" ref="FX16:FX18" si="198">($ER16*$EQ16^FF16)/$I16</f>
        <v>5.2688225718545217E-6</v>
      </c>
      <c r="FY16" s="54">
        <f t="shared" ref="FY16:FY18" si="199">($ER16*$EQ16^FG16)/$I16</f>
        <v>4.3228488813532899E-6</v>
      </c>
      <c r="FZ16" s="54">
        <f t="shared" ref="FZ16:FZ18" si="200">($ER16*$EQ16^FH16)/$I16</f>
        <v>3.5467169744605625E-6</v>
      </c>
      <c r="GA16" s="54">
        <f t="shared" ref="GA16:GA18" si="201">($ER16*$EQ16^FI16)/$I16</f>
        <v>2.9099331580123854E-6</v>
      </c>
      <c r="GB16" s="77">
        <f t="shared" ref="GB16:GB18" si="202">($ER16*$EQ16^FJ16)/$I16</f>
        <v>2.3874786302585731E-6</v>
      </c>
      <c r="GC16" s="75">
        <f t="array" ref="GC16:GD16">LOGEST(FK16:GB16, ES16:FJ16, TRUE, TRUE)</f>
        <v>0.96755593214030766</v>
      </c>
      <c r="GD16" s="75">
        <v>5.6628598915806666E-5</v>
      </c>
      <c r="GE16" s="2">
        <f t="shared" ref="GE16:GE18" si="203">-LN(FT16/FK16)/FB16</f>
        <v>3.2982044751457502E-2</v>
      </c>
      <c r="GF16" s="2">
        <f t="shared" ref="GF16:GF18" si="204">LN(2)/GE16</f>
        <v>21.015894732521534</v>
      </c>
      <c r="GG16" s="2">
        <f>(GF16*DATA!$B$3)/(DATA!$B$3+GF16)</f>
        <v>18.948361753277894</v>
      </c>
      <c r="GH16" s="17">
        <f t="shared" ref="GH16:GH18" si="205">(GG16*GD16)/LN(2)</f>
        <v>1.5480394466456137E-3</v>
      </c>
      <c r="GI16" s="96">
        <f>DATA!$B$6/DW16</f>
        <v>12.079754660079349</v>
      </c>
      <c r="GJ16" s="96"/>
      <c r="GK16" s="2">
        <f t="shared" ref="GK16:GK18" si="206">IF(G16&lt;F16, 0.0188*(G16^(-2/3)), 0.0188*F16^(-2/3))</f>
        <v>1.0957320869521316E-3</v>
      </c>
      <c r="GL16" s="2">
        <f>GK16*EF16 + GH16*DATA!$B$8</f>
        <v>0.20414822719200063</v>
      </c>
      <c r="GM16" s="96">
        <f>DATA!$B$7/GL16</f>
        <v>9.7968031734069765</v>
      </c>
      <c r="GN16" s="96"/>
      <c r="GO16" s="93">
        <f>GI16</f>
        <v>12.079754660079349</v>
      </c>
      <c r="GP16" s="51">
        <f>ROUNDDOWN(GO16*27.027,0)</f>
        <v>326</v>
      </c>
      <c r="GQ16" s="93">
        <f>GM16</f>
        <v>9.7968031734069765</v>
      </c>
      <c r="GR16" s="51">
        <f>ROUNDDOWN(GQ16 * 27.027,0)</f>
        <v>264</v>
      </c>
      <c r="GS16" s="1"/>
      <c r="GT16" s="1"/>
      <c r="GU16" s="1"/>
      <c r="GV16" s="57">
        <f>V16</f>
        <v>45264.691666666666</v>
      </c>
      <c r="GW16" s="2">
        <f>Y16</f>
        <v>1.8333333333721384</v>
      </c>
      <c r="GX16" s="1"/>
      <c r="GY16" s="2" t="str">
        <f t="shared" si="105"/>
        <v/>
      </c>
      <c r="GZ16" s="2" t="str">
        <f t="shared" si="106"/>
        <v/>
      </c>
      <c r="HA16" s="1"/>
      <c r="HB16" s="1"/>
      <c r="HC16" s="1"/>
      <c r="HD16" s="57">
        <f t="shared" si="147"/>
        <v>45265.326388888891</v>
      </c>
      <c r="HE16" s="2">
        <f>AE16</f>
        <v>17.06666666676756</v>
      </c>
      <c r="HF16" s="1"/>
      <c r="HG16" s="1"/>
      <c r="HH16" s="1"/>
      <c r="HI16" s="57">
        <f t="shared" si="107"/>
        <v>45266.34652777778</v>
      </c>
      <c r="HJ16" s="2">
        <f t="shared" si="108"/>
        <v>41.550000000104774</v>
      </c>
      <c r="HK16" s="1"/>
      <c r="HL16" s="1"/>
      <c r="HM16" s="1"/>
      <c r="HN16" s="57">
        <f t="shared" si="122"/>
        <v>45267.352777777778</v>
      </c>
      <c r="HO16" s="2">
        <f t="shared" si="123"/>
        <v>65.700000000069849</v>
      </c>
      <c r="HP16" s="1"/>
      <c r="HQ16" s="1"/>
      <c r="HR16" s="1"/>
      <c r="HS16" s="57">
        <f t="shared" si="124"/>
        <v>0</v>
      </c>
      <c r="HT16" s="2" t="str">
        <f t="shared" si="125"/>
        <v/>
      </c>
      <c r="HU16" s="72">
        <f t="shared" si="126"/>
        <v>1.8333333333721384</v>
      </c>
      <c r="HV16" s="72">
        <f t="shared" si="127"/>
        <v>17.06666666676756</v>
      </c>
      <c r="HW16" s="72">
        <f t="shared" si="128"/>
        <v>41.550000000104774</v>
      </c>
      <c r="HX16" s="72">
        <f t="shared" si="129"/>
        <v>65.700000000069849</v>
      </c>
      <c r="HY16" s="72" t="str">
        <f t="shared" si="130"/>
        <v/>
      </c>
      <c r="HZ16" s="2" t="e">
        <f t="shared" si="131"/>
        <v>#VALUE!</v>
      </c>
      <c r="IA16" s="2" t="e">
        <f t="shared" si="132"/>
        <v>#VALUE!</v>
      </c>
      <c r="IB16" s="2" t="e">
        <f t="shared" si="133"/>
        <v>#VALUE!</v>
      </c>
      <c r="IC16" s="2" t="e">
        <f t="shared" si="134"/>
        <v>#VALUE!</v>
      </c>
      <c r="ID16" s="2" t="e">
        <f t="shared" si="135"/>
        <v>#VALUE!</v>
      </c>
      <c r="IE16" s="14" t="e">
        <f>HZ16*EXP(DATA!$B$4*'Inputs-new'!HU16)</f>
        <v>#VALUE!</v>
      </c>
      <c r="IF16" s="14" t="e">
        <f>IA16*EXP(DATA!$B$4*'Inputs-new'!HV16)</f>
        <v>#VALUE!</v>
      </c>
      <c r="IG16" s="14" t="e">
        <f>IB16*EXP(DATA!$B$4*'Inputs-new'!HW16)</f>
        <v>#VALUE!</v>
      </c>
      <c r="IH16" s="14" t="e">
        <f>IC16*EXP(DATA!$B$4*'Inputs-new'!HX16)</f>
        <v>#VALUE!</v>
      </c>
      <c r="II16" s="14" t="e">
        <f>ID16*EXP(DATA!$B$4*'Inputs-new'!HY16)</f>
        <v>#VALUE!</v>
      </c>
      <c r="IJ16" s="2" t="e">
        <f t="array" ref="IJ16:IK16">LOGEST(IF16:IH16, HV16:HX16, TRUE, FALSE)</f>
        <v>#VALUE!</v>
      </c>
      <c r="IK16" s="2" t="e">
        <v>#VALUE!</v>
      </c>
      <c r="IL16" s="2" t="e">
        <f t="shared" si="136"/>
        <v>#VALUE!</v>
      </c>
      <c r="IM16" s="2" t="e">
        <f t="shared" si="137"/>
        <v>#VALUE!</v>
      </c>
      <c r="IN16" s="2" t="e">
        <f>(IM16*DATA!$B$3)/(DATA!$B$3+'Inputs-new'!IM16)</f>
        <v>#VALUE!</v>
      </c>
      <c r="IO16" s="2" t="e">
        <f t="shared" si="138"/>
        <v>#VALUE!</v>
      </c>
      <c r="IP16" s="2" t="e">
        <f t="shared" si="139"/>
        <v>#VALUE!</v>
      </c>
      <c r="IQ16" s="2" t="e">
        <f t="shared" si="140"/>
        <v>#VALUE!</v>
      </c>
      <c r="IR16" s="2" t="e">
        <f t="shared" si="141"/>
        <v>#VALUE!</v>
      </c>
      <c r="IS16" s="2" t="e">
        <f t="shared" si="142"/>
        <v>#VALUE!</v>
      </c>
      <c r="IT16" s="63" t="e">
        <f t="shared" si="143"/>
        <v>#VALUE!</v>
      </c>
      <c r="IU16" s="2" t="e">
        <f t="shared" si="144"/>
        <v>#VALUE!</v>
      </c>
      <c r="IV16" s="72" t="e">
        <f t="shared" si="145"/>
        <v>#VALUE!</v>
      </c>
    </row>
    <row r="17" spans="1:256" ht="15.75" thickBot="1" x14ac:dyDescent="0.3">
      <c r="A17" s="5">
        <v>16</v>
      </c>
      <c r="B17" s="1"/>
      <c r="C17" s="1" t="s">
        <v>160</v>
      </c>
      <c r="D17" s="46"/>
      <c r="E17" s="1">
        <v>160</v>
      </c>
      <c r="F17" s="1">
        <v>61.6</v>
      </c>
      <c r="G17" s="2">
        <f t="shared" si="146"/>
        <v>72.316000000000003</v>
      </c>
      <c r="H17" s="1">
        <v>60.36</v>
      </c>
      <c r="I17" s="63">
        <f>Z17*EXP(DATA!$B$4*Y17)</f>
        <v>40.773629096604822</v>
      </c>
      <c r="J17" s="63">
        <f>AA17*EXP(DATA!$B$5*'Inputs-new'!Y17)</f>
        <v>40.773629096604814</v>
      </c>
      <c r="K17" s="1"/>
      <c r="L17" s="48">
        <v>45313.607638888891</v>
      </c>
      <c r="M17" s="48">
        <v>45313.594444444447</v>
      </c>
      <c r="N17" s="1">
        <v>4.46</v>
      </c>
      <c r="O17" s="48">
        <v>45316.597222222219</v>
      </c>
      <c r="P17" s="1">
        <v>200</v>
      </c>
      <c r="Q17" s="1">
        <v>42717.35</v>
      </c>
      <c r="R17" s="1"/>
      <c r="S17" s="2">
        <f>N17/P17</f>
        <v>2.23E-2</v>
      </c>
      <c r="T17" s="13">
        <f>Q17*EXP((O17-M17)*24*DATA!$B$4)</f>
        <v>70283.695049121801</v>
      </c>
      <c r="U17" s="20">
        <f>T17/S17</f>
        <v>3151735.2039964935</v>
      </c>
      <c r="V17" s="48">
        <v>45313.68472222222</v>
      </c>
      <c r="W17" s="1">
        <v>261.7</v>
      </c>
      <c r="X17" s="1">
        <v>153824.09</v>
      </c>
      <c r="Y17" s="19">
        <f t="shared" ref="Y17:Y18" si="207">IF(V17="","",(V17-$L17)*24)</f>
        <v>1.8499999999185093</v>
      </c>
      <c r="Z17" s="19">
        <f t="shared" ref="Z17:Z18" si="208">IF(W17 = "", "", W17*X17/1000000)</f>
        <v>40.255764353000004</v>
      </c>
      <c r="AA17" s="17">
        <f>IF(Z17 = "", "", Z17*EXP(Y17*DATA!$B$4)*EXP(-DATA!$B$5*'Inputs-new'!Y17))</f>
        <v>40.503068509519871</v>
      </c>
      <c r="AB17" s="48">
        <v>45314.301388888889</v>
      </c>
      <c r="AC17" s="1">
        <v>125.1</v>
      </c>
      <c r="AD17" s="1">
        <v>162736.51999999999</v>
      </c>
      <c r="AE17" s="19">
        <f t="shared" ref="AE17:AE18" si="209">IF(AB17="","",(AB17-$L17)*24)</f>
        <v>16.649999999965075</v>
      </c>
      <c r="AF17" s="19">
        <f t="shared" ref="AF17:AF18" si="210">IF(AC17 = "", "", AC17*AD17/1000000)</f>
        <v>20.358338652</v>
      </c>
      <c r="AG17" s="17">
        <f>IF(AF17 = "", "", AF17*EXP(AE17*DATA!$B$4)*EXP(-DATA!$B$5*'Inputs-new'!AE17))</f>
        <v>21.512009396525748</v>
      </c>
      <c r="AH17" s="48">
        <v>45315.308333333334</v>
      </c>
      <c r="AI17" s="1">
        <v>41</v>
      </c>
      <c r="AJ17" s="1">
        <v>154283.01</v>
      </c>
      <c r="AK17" s="19">
        <f t="shared" ref="AK17:AK18" si="211">IF(AH17="","",(AH17-$L17)*24)</f>
        <v>40.816666666651145</v>
      </c>
      <c r="AL17" s="19">
        <f t="shared" ref="AL17:AL18" si="212">IF(AI17 = "", "", AI17*AJ17/1000000)</f>
        <v>6.3256034100000003</v>
      </c>
      <c r="AM17" s="17">
        <f>IF(AL17 = "", "", AL17*EXP(AK17*DATA!$B$4)*EXP(-DATA!$B$5*'Inputs-new'!AK17))</f>
        <v>7.2407972140470669</v>
      </c>
      <c r="AN17" s="48"/>
      <c r="AO17" s="1"/>
      <c r="AP17" s="1"/>
      <c r="AQ17" s="19" t="str">
        <f t="shared" ref="AQ17:AQ18" si="213">IF(AN17="","",(AN17-$L17)*24)</f>
        <v/>
      </c>
      <c r="AR17" s="19" t="str">
        <f t="shared" ref="AR17:AR18" si="214">IF(AO17 = "", "", AO17*AP17/1000000)</f>
        <v/>
      </c>
      <c r="AS17" s="17" t="str">
        <f>IF(AR17 = "", "", AR17*EXP(AQ17*DATA!$B$4)*EXP(-DATA!$B$5*'Inputs-new'!AQ17))</f>
        <v/>
      </c>
      <c r="AT17" s="1"/>
      <c r="AU17" s="1"/>
      <c r="AV17" s="1"/>
      <c r="AW17" s="19" t="str">
        <f t="shared" si="117"/>
        <v/>
      </c>
      <c r="AX17" s="19" t="str">
        <f t="shared" si="118"/>
        <v/>
      </c>
      <c r="AY17" s="17" t="str">
        <f>IF(AX17 = "", "", AX17*EXP(AW17*DATA!$B$4)*EXP(-DATA!$B$5*'Inputs-new'!AW17))</f>
        <v/>
      </c>
      <c r="AZ17" s="80">
        <v>45313.672222222223</v>
      </c>
      <c r="BA17" s="80">
        <v>45316.617361111108</v>
      </c>
      <c r="BB17" s="1">
        <v>8284.7000000000007</v>
      </c>
      <c r="BC17" s="63">
        <f>IF(AZ17 = "", "", 24*(AZ17-$L17))</f>
        <v>1.5499999999883585</v>
      </c>
      <c r="BD17" s="12">
        <f>IF(BB17 = "", "", BB17*EXP(DATA!$B$4*(BA17-AZ17)*24))</f>
        <v>13501.316062510246</v>
      </c>
      <c r="BE17" s="12">
        <f>IF(BD17 = "", "", BD17*EXP(BC17*DATA!$B$4)*EXP(-BC17*DATA!$B$5))</f>
        <v>13570.774266071166</v>
      </c>
      <c r="BF17" s="14">
        <f>BD17*$S17/$T17</f>
        <v>4.283772331314566E-3</v>
      </c>
      <c r="BG17" s="14">
        <f>BE17*$S17/$T17</f>
        <v>4.3058104148035736E-3</v>
      </c>
      <c r="BH17" s="16">
        <v>45314.354166666664</v>
      </c>
      <c r="BI17" s="16">
        <v>45316.623611111114</v>
      </c>
      <c r="BJ17" s="1">
        <v>4082.7325000000001</v>
      </c>
      <c r="BK17" s="63">
        <f>IF(BH17 = "", "", 24*(BH17-$L17))</f>
        <v>17.916666666569654</v>
      </c>
      <c r="BL17" s="12">
        <f>IF(BJ17 = "", "", BJ17*EXP(DATA!$B$4*(BI17-BH17)*24))</f>
        <v>5948.2461016830639</v>
      </c>
      <c r="BM17" s="12">
        <f>IF(BL17 = "", "", BL17*EXP(BK17*DATA!$B$4)*EXP(-BK17*DATA!$B$5))</f>
        <v>6311.7346324744976</v>
      </c>
      <c r="BN17" s="14">
        <f>BL17*$S17/$T17</f>
        <v>1.8872924648430211E-3</v>
      </c>
      <c r="BO17" s="14">
        <f>BM17*($S17/$T17)</f>
        <v>2.0026221189112054E-3</v>
      </c>
      <c r="BP17" s="16">
        <v>45315.352083333331</v>
      </c>
      <c r="BQ17" s="16">
        <v>45316.629861111112</v>
      </c>
      <c r="BR17" s="1">
        <v>1627.7349999999999</v>
      </c>
      <c r="BS17" s="2">
        <f>IF(BP17 = "", "", 24*(BP17-$L17))</f>
        <v>41.866666666581295</v>
      </c>
      <c r="BT17" s="12">
        <f>IF(BR17 = "", "", BR17*EXP(DATA!$B$4*(BQ17-BP17)*24))</f>
        <v>2011.8940153466467</v>
      </c>
      <c r="BU17" s="12">
        <f>IF(BT17 = "", "", BT17*EXP(BS17*DATA!$B$4)*EXP(-BS17*DATA!$B$5))</f>
        <v>2310.9958622805129</v>
      </c>
      <c r="BV17" s="14">
        <f>BT17*$S17/$T17</f>
        <v>6.3834487516448266E-4</v>
      </c>
      <c r="BW17" s="2">
        <f>BU17*$S17/$T17</f>
        <v>7.3324556560148263E-4</v>
      </c>
      <c r="BX17" s="16"/>
      <c r="BY17" s="16"/>
      <c r="BZ17" s="1"/>
      <c r="CA17" s="12" t="str">
        <f>IF(BX17 = "", "", 24*(BX17-$L17))</f>
        <v/>
      </c>
      <c r="CB17" s="12" t="str">
        <f>IF(BZ17 = "", "", BZ17*EXP(DATA!$B$4*(BY17-BX17)*24))</f>
        <v/>
      </c>
      <c r="CC17" s="12" t="str">
        <f>IF(CB17 = "", "", CB17*EXP(CA17*DATA!$B$4)*EXP(-CA17*DATA!$B$5))</f>
        <v/>
      </c>
      <c r="CD17" s="14" t="e">
        <f>CB17*$S17/$T17</f>
        <v>#VALUE!</v>
      </c>
      <c r="CE17" s="60" t="e">
        <f>CC17*($S17/$T17)</f>
        <v>#VALUE!</v>
      </c>
      <c r="CF17" s="16"/>
      <c r="CG17" s="16"/>
      <c r="CH17" s="1"/>
      <c r="CI17" s="12" t="str">
        <f t="shared" ref="CI17:CI18" si="215">IF(CF17 = "", "", 24*(CF17-$L17))</f>
        <v/>
      </c>
      <c r="CJ17" s="12" t="str">
        <f>IF(CH17 = "", "", CH17*EXP(DATA!$B$4*(CG17-CF17)*24))</f>
        <v/>
      </c>
      <c r="CK17" s="12" t="str">
        <f>IF(CJ17 = "", "", CJ17*EXP(CI17*DATA!$B$4)*EXP(-CI17*DATA!$B$5))</f>
        <v/>
      </c>
      <c r="CL17" s="61" t="e">
        <f t="shared" ref="CL17:CL18" si="216">CJ17*$S17/$T17</f>
        <v>#VALUE!</v>
      </c>
      <c r="CM17" s="62" t="e">
        <f t="shared" ref="CM17:CM18" si="217">CK17*($S17/$T17)</f>
        <v>#VALUE!</v>
      </c>
      <c r="CN17" s="41">
        <f t="shared" si="148"/>
        <v>40.503068509519871</v>
      </c>
      <c r="CO17" s="42">
        <f t="shared" si="149"/>
        <v>21.512009396525748</v>
      </c>
      <c r="CP17" s="42">
        <f t="shared" si="150"/>
        <v>7.2407972140470669</v>
      </c>
      <c r="CQ17" s="42" t="str">
        <f t="shared" si="151"/>
        <v/>
      </c>
      <c r="CR17" s="42" t="str">
        <f t="shared" si="152"/>
        <v/>
      </c>
      <c r="CS17" s="42">
        <f t="shared" si="153"/>
        <v>1.8499999999185093</v>
      </c>
      <c r="CT17" s="42">
        <f t="shared" si="154"/>
        <v>16.649999999965075</v>
      </c>
      <c r="CU17" s="42">
        <f t="shared" si="155"/>
        <v>40.816666666651145</v>
      </c>
      <c r="CV17" s="42" t="str">
        <f t="shared" si="156"/>
        <v/>
      </c>
      <c r="CW17" s="42" t="str">
        <f t="shared" si="157"/>
        <v/>
      </c>
      <c r="CX17" s="75">
        <f t="array" ref="CX17:CY17">LOGEST(CN17:CP17,CS17:CU17,TRUE,TRUE)</f>
        <v>0.95669770083520078</v>
      </c>
      <c r="CY17" s="75">
        <v>44.338201129085711</v>
      </c>
      <c r="CZ17" s="76">
        <v>0</v>
      </c>
      <c r="DA17" s="2">
        <v>2</v>
      </c>
      <c r="DB17" s="2">
        <v>4</v>
      </c>
      <c r="DC17" s="2">
        <v>10</v>
      </c>
      <c r="DD17" s="2">
        <v>18</v>
      </c>
      <c r="DE17" s="2">
        <v>24</v>
      </c>
      <c r="DF17" s="2">
        <v>26</v>
      </c>
      <c r="DG17" s="2">
        <v>34</v>
      </c>
      <c r="DH17" s="2">
        <v>42</v>
      </c>
      <c r="DI17" s="2">
        <v>48</v>
      </c>
      <c r="DJ17" s="2">
        <v>50</v>
      </c>
      <c r="DK17" s="2">
        <v>58</v>
      </c>
      <c r="DL17" s="2">
        <v>66</v>
      </c>
      <c r="DM17" s="2">
        <v>74</v>
      </c>
      <c r="DN17" s="2">
        <f t="shared" si="158"/>
        <v>1.0874234673601255</v>
      </c>
      <c r="DO17" s="2">
        <f t="shared" si="159"/>
        <v>0.99528661066004431</v>
      </c>
      <c r="DP17" s="2">
        <f t="shared" si="160"/>
        <v>0.9109564646089251</v>
      </c>
      <c r="DQ17" s="2">
        <f t="shared" si="161"/>
        <v>0.69846717944001091</v>
      </c>
      <c r="DR17" s="2">
        <f t="shared" si="162"/>
        <v>0.49016674747724431</v>
      </c>
      <c r="DS17" s="2">
        <f t="shared" si="163"/>
        <v>0.37583067782793861</v>
      </c>
      <c r="DT17" s="2">
        <f t="shared" si="164"/>
        <v>0.34398672894701998</v>
      </c>
      <c r="DU17" s="2">
        <f t="shared" si="165"/>
        <v>0.24140125845065374</v>
      </c>
      <c r="DV17" s="2">
        <f t="shared" si="166"/>
        <v>0.1694093483197564</v>
      </c>
      <c r="DW17" s="2">
        <f t="shared" si="167"/>
        <v>0.1298930017939644</v>
      </c>
      <c r="DX17" s="2">
        <f t="shared" si="168"/>
        <v>0.11888723150128558</v>
      </c>
      <c r="DY17" s="2">
        <f t="shared" si="169"/>
        <v>8.3432077121047249E-2</v>
      </c>
      <c r="DZ17" s="2">
        <f t="shared" si="170"/>
        <v>5.8550539068252277E-2</v>
      </c>
      <c r="EA17" s="73">
        <f t="shared" si="171"/>
        <v>4.1089299745099124E-2</v>
      </c>
      <c r="EB17" s="75">
        <f t="array" ref="EB17:EC17">LOGEST(DN17:EA17,CZ17:DM17,TRUE,TRUE)</f>
        <v>0.95669770083520078</v>
      </c>
      <c r="EC17" s="75">
        <v>1.0874234673601249</v>
      </c>
      <c r="ED17" s="2">
        <f t="shared" si="172"/>
        <v>4.4267819525319635E-2</v>
      </c>
      <c r="EE17" s="2">
        <f t="shared" si="173"/>
        <v>15.658037553972802</v>
      </c>
      <c r="EF17" s="17">
        <f t="shared" si="174"/>
        <v>24.564649423000308</v>
      </c>
      <c r="EG17" s="2">
        <f t="shared" si="175"/>
        <v>4.3058104148035736E-3</v>
      </c>
      <c r="EH17" s="2">
        <f t="shared" si="176"/>
        <v>2.0026221189112054E-3</v>
      </c>
      <c r="EI17" s="2">
        <f t="shared" si="177"/>
        <v>7.3324556560148263E-4</v>
      </c>
      <c r="EJ17" s="2" t="e">
        <f t="shared" si="178"/>
        <v>#VALUE!</v>
      </c>
      <c r="EK17" s="2" t="e">
        <f t="shared" si="179"/>
        <v>#VALUE!</v>
      </c>
      <c r="EL17" s="12">
        <f t="shared" si="180"/>
        <v>1.5499999999883585</v>
      </c>
      <c r="EM17" s="12">
        <f t="shared" si="181"/>
        <v>17.916666666569654</v>
      </c>
      <c r="EN17" s="12">
        <f t="shared" si="182"/>
        <v>41.866666666581295</v>
      </c>
      <c r="EO17" s="12" t="str">
        <f t="shared" si="183"/>
        <v/>
      </c>
      <c r="EP17" s="12" t="str">
        <f t="shared" si="184"/>
        <v/>
      </c>
      <c r="EQ17" s="35">
        <f t="array" ref="EQ17:ER17">LOGEST(EG17:EI17, EL17:EN17, TRUE, TRUE)</f>
        <v>0.95717953843247561</v>
      </c>
      <c r="ER17" s="35">
        <v>4.5242546128006489E-3</v>
      </c>
      <c r="ES17" s="53">
        <v>0</v>
      </c>
      <c r="ET17" s="53">
        <v>2</v>
      </c>
      <c r="EU17" s="53">
        <v>4</v>
      </c>
      <c r="EV17" s="53">
        <v>10</v>
      </c>
      <c r="EW17" s="53">
        <v>18</v>
      </c>
      <c r="EX17" s="53">
        <v>24</v>
      </c>
      <c r="EY17" s="53">
        <v>26</v>
      </c>
      <c r="EZ17" s="53">
        <v>34</v>
      </c>
      <c r="FA17" s="53">
        <v>42</v>
      </c>
      <c r="FB17" s="53">
        <v>48</v>
      </c>
      <c r="FC17" s="53">
        <v>50</v>
      </c>
      <c r="FD17" s="53">
        <v>58</v>
      </c>
      <c r="FE17" s="53">
        <v>66</v>
      </c>
      <c r="FF17" s="53">
        <v>72</v>
      </c>
      <c r="FG17" s="53">
        <v>78</v>
      </c>
      <c r="FH17" s="53">
        <v>84</v>
      </c>
      <c r="FI17" s="53">
        <v>90</v>
      </c>
      <c r="FJ17" s="53">
        <v>96</v>
      </c>
      <c r="FK17" s="54">
        <f t="shared" si="185"/>
        <v>1.1096031216846918E-4</v>
      </c>
      <c r="FL17" s="54">
        <f t="shared" si="186"/>
        <v>1.0166102453582372E-4</v>
      </c>
      <c r="FM17" s="54">
        <f t="shared" si="187"/>
        <v>9.3141085381789009E-5</v>
      </c>
      <c r="FN17" s="54">
        <f t="shared" si="188"/>
        <v>7.1631118306716331E-5</v>
      </c>
      <c r="FO17" s="54">
        <f t="shared" si="189"/>
        <v>5.0471821755669051E-5</v>
      </c>
      <c r="FP17" s="54">
        <f t="shared" si="190"/>
        <v>3.8815878304577966E-5</v>
      </c>
      <c r="FQ17" s="54">
        <f t="shared" si="191"/>
        <v>3.5562823135446918E-5</v>
      </c>
      <c r="FR17" s="54">
        <f t="shared" si="192"/>
        <v>2.505783118916299E-5</v>
      </c>
      <c r="FS17" s="54">
        <f t="shared" si="193"/>
        <v>1.7655935287059392E-5</v>
      </c>
      <c r="FT17" s="54">
        <f t="shared" si="194"/>
        <v>1.3578480261196915E-5</v>
      </c>
      <c r="FU17" s="54">
        <f t="shared" si="195"/>
        <v>1.2440504068670032E-5</v>
      </c>
      <c r="FV17" s="54">
        <f t="shared" si="196"/>
        <v>8.7656722210592124E-6</v>
      </c>
      <c r="FW17" s="54">
        <f t="shared" si="197"/>
        <v>6.1763582136960389E-6</v>
      </c>
      <c r="FX17" s="54">
        <f t="shared" si="198"/>
        <v>4.7499923808749403E-6</v>
      </c>
      <c r="FY17" s="54">
        <f t="shared" si="199"/>
        <v>3.6530309346918923E-6</v>
      </c>
      <c r="FZ17" s="54">
        <f t="shared" si="200"/>
        <v>2.8094013505255054E-6</v>
      </c>
      <c r="GA17" s="54">
        <f t="shared" si="201"/>
        <v>2.1605992638549143E-6</v>
      </c>
      <c r="GB17" s="77">
        <f t="shared" si="202"/>
        <v>1.6616312860023375E-6</v>
      </c>
      <c r="GC17" s="75">
        <f t="array" ref="GC17:GD17">LOGEST(FK17:GB17, ES17:FJ17, TRUE, TRUE)</f>
        <v>0.95717953843247561</v>
      </c>
      <c r="GD17" s="75">
        <v>1.1096031216846912E-4</v>
      </c>
      <c r="GE17" s="2">
        <f t="shared" si="203"/>
        <v>4.3764299657306278E-2</v>
      </c>
      <c r="GF17" s="2">
        <f t="shared" si="204"/>
        <v>15.838187426454729</v>
      </c>
      <c r="GG17" s="2">
        <f>(GF17*DATA!$B$3)/(DATA!$B$3+GF17)</f>
        <v>14.634749574922227</v>
      </c>
      <c r="GH17" s="17">
        <f t="shared" si="205"/>
        <v>2.3427584023770023E-3</v>
      </c>
      <c r="GI17" s="96">
        <f>DATA!$B$6/DW17</f>
        <v>22.787986720756031</v>
      </c>
      <c r="GJ17" s="96"/>
      <c r="GK17" s="2">
        <f t="shared" si="206"/>
        <v>1.2053246577140421E-3</v>
      </c>
      <c r="GL17" s="2">
        <f>GK17*EF17 + GH17*DATA!$B$8</f>
        <v>0.28262628511435955</v>
      </c>
      <c r="GM17" s="96">
        <f>DATA!$B$7/GL17</f>
        <v>7.0764826392235127</v>
      </c>
      <c r="GN17" s="96"/>
      <c r="GO17" s="93">
        <f t="shared" ref="GO17:GO18" si="218">GI17</f>
        <v>22.787986720756031</v>
      </c>
      <c r="GP17" s="51">
        <f t="shared" ref="GP17:GP18" si="219">ROUNDDOWN(GO17*27.027,0)</f>
        <v>615</v>
      </c>
      <c r="GQ17" s="93">
        <f t="shared" ref="GQ17:GQ18" si="220">GM17</f>
        <v>7.0764826392235127</v>
      </c>
      <c r="GR17" s="51">
        <f t="shared" ref="GR17:GR18" si="221">ROUNDDOWN(GQ17 * 27.027,0)</f>
        <v>191</v>
      </c>
      <c r="GS17" s="1"/>
      <c r="GT17" s="1"/>
      <c r="GU17" s="1"/>
      <c r="GV17" s="57">
        <f>V17</f>
        <v>45313.68472222222</v>
      </c>
      <c r="GW17" s="2">
        <f>Y17</f>
        <v>1.8499999999185093</v>
      </c>
      <c r="GX17" s="1"/>
      <c r="GY17" s="2" t="str">
        <f t="shared" si="105"/>
        <v/>
      </c>
      <c r="GZ17" s="2" t="str">
        <f t="shared" si="106"/>
        <v/>
      </c>
      <c r="HA17" s="1"/>
      <c r="HB17" s="1"/>
      <c r="HC17" s="1"/>
      <c r="HD17" s="57">
        <f t="shared" si="147"/>
        <v>45314.301388888889</v>
      </c>
      <c r="HE17" s="2">
        <f>AE17</f>
        <v>16.649999999965075</v>
      </c>
      <c r="HF17" s="1"/>
      <c r="HG17" s="1"/>
      <c r="HH17" s="1"/>
      <c r="HI17" s="57">
        <f t="shared" si="107"/>
        <v>45315.308333333334</v>
      </c>
      <c r="HJ17" s="2">
        <f t="shared" si="108"/>
        <v>40.816666666651145</v>
      </c>
      <c r="HK17" s="1"/>
      <c r="HL17" s="1"/>
      <c r="HM17" s="1"/>
      <c r="HN17" s="57">
        <f t="shared" si="122"/>
        <v>0</v>
      </c>
      <c r="HO17" s="2" t="str">
        <f t="shared" si="123"/>
        <v/>
      </c>
      <c r="HP17" s="1"/>
      <c r="HQ17" s="1"/>
      <c r="HR17" s="1"/>
      <c r="HS17" s="57">
        <f t="shared" si="124"/>
        <v>0</v>
      </c>
      <c r="HT17" s="2" t="str">
        <f t="shared" si="125"/>
        <v/>
      </c>
      <c r="HU17" s="72">
        <f t="shared" si="126"/>
        <v>1.8499999999185093</v>
      </c>
      <c r="HV17" s="72">
        <f t="shared" si="127"/>
        <v>16.649999999965075</v>
      </c>
      <c r="HW17" s="72">
        <f t="shared" si="128"/>
        <v>40.816666666651145</v>
      </c>
      <c r="HX17" s="72" t="str">
        <f t="shared" si="129"/>
        <v/>
      </c>
      <c r="HY17" s="72" t="str">
        <f t="shared" si="130"/>
        <v/>
      </c>
      <c r="HZ17" s="2" t="e">
        <f t="shared" si="131"/>
        <v>#VALUE!</v>
      </c>
      <c r="IA17" s="2" t="e">
        <f t="shared" si="132"/>
        <v>#VALUE!</v>
      </c>
      <c r="IB17" s="2" t="e">
        <f t="shared" si="133"/>
        <v>#VALUE!</v>
      </c>
      <c r="IC17" s="2" t="e">
        <f t="shared" si="134"/>
        <v>#VALUE!</v>
      </c>
      <c r="ID17" s="2" t="e">
        <f t="shared" si="135"/>
        <v>#VALUE!</v>
      </c>
      <c r="IE17" s="14" t="e">
        <f>HZ17*EXP(DATA!$B$4*'Inputs-new'!HU17)</f>
        <v>#VALUE!</v>
      </c>
      <c r="IF17" s="14" t="e">
        <f>IA17*EXP(DATA!$B$4*'Inputs-new'!HV17)</f>
        <v>#VALUE!</v>
      </c>
      <c r="IG17" s="14" t="e">
        <f>IB17*EXP(DATA!$B$4*'Inputs-new'!HW17)</f>
        <v>#VALUE!</v>
      </c>
      <c r="IH17" s="14" t="e">
        <f>IC17*EXP(DATA!$B$4*'Inputs-new'!HX17)</f>
        <v>#VALUE!</v>
      </c>
      <c r="II17" s="14" t="e">
        <f>ID17*EXP(DATA!$B$4*'Inputs-new'!HY17)</f>
        <v>#VALUE!</v>
      </c>
      <c r="IJ17" s="2" t="e">
        <f t="array" ref="IJ17:IK17">LOGEST(IF17:IH17, HV17:HX17, TRUE, FALSE)</f>
        <v>#VALUE!</v>
      </c>
      <c r="IK17" s="2" t="e">
        <v>#VALUE!</v>
      </c>
      <c r="IL17" s="2" t="e">
        <f t="shared" si="136"/>
        <v>#VALUE!</v>
      </c>
      <c r="IM17" s="2" t="e">
        <f t="shared" si="137"/>
        <v>#VALUE!</v>
      </c>
      <c r="IN17" s="2" t="e">
        <f>(IM17*DATA!$B$3)/(DATA!$B$3+'Inputs-new'!IM17)</f>
        <v>#VALUE!</v>
      </c>
      <c r="IO17" s="2" t="e">
        <f t="shared" si="138"/>
        <v>#VALUE!</v>
      </c>
      <c r="IP17" s="2" t="e">
        <f t="shared" si="139"/>
        <v>#VALUE!</v>
      </c>
      <c r="IQ17" s="2" t="e">
        <f t="shared" si="140"/>
        <v>#VALUE!</v>
      </c>
      <c r="IR17" s="2" t="e">
        <f t="shared" si="141"/>
        <v>#VALUE!</v>
      </c>
      <c r="IS17" s="2" t="e">
        <f t="shared" si="142"/>
        <v>#VALUE!</v>
      </c>
      <c r="IT17" s="63" t="e">
        <f t="shared" si="143"/>
        <v>#VALUE!</v>
      </c>
      <c r="IU17" s="2" t="e">
        <f t="shared" si="144"/>
        <v>#VALUE!</v>
      </c>
      <c r="IV17" s="72" t="e">
        <f t="shared" si="145"/>
        <v>#VALUE!</v>
      </c>
    </row>
    <row r="18" spans="1:256" ht="15.75" thickBot="1" x14ac:dyDescent="0.3">
      <c r="A18" s="1">
        <v>17</v>
      </c>
      <c r="B18" s="1"/>
      <c r="C18" s="1" t="s">
        <v>160</v>
      </c>
      <c r="D18" s="46"/>
      <c r="E18" s="1">
        <v>157</v>
      </c>
      <c r="F18" s="1">
        <v>60</v>
      </c>
      <c r="G18" s="2">
        <f t="shared" si="146"/>
        <v>68.575000000000003</v>
      </c>
      <c r="H18" s="1">
        <v>57.74</v>
      </c>
      <c r="I18" s="63">
        <f>Z18*EXP(DATA!$B$4*Y18)</f>
        <v>55.55128567557955</v>
      </c>
      <c r="J18" s="63">
        <f>AA18*EXP(DATA!$B$5*'Inputs-new'!Y18)</f>
        <v>55.55128567557955</v>
      </c>
      <c r="K18" s="1"/>
      <c r="L18" s="48">
        <v>45341.649305555555</v>
      </c>
      <c r="M18" s="48">
        <v>45341.583333333336</v>
      </c>
      <c r="N18" s="1">
        <v>1.5</v>
      </c>
      <c r="O18" s="48">
        <v>45344.416666666664</v>
      </c>
      <c r="P18" s="1">
        <v>200</v>
      </c>
      <c r="Q18" s="1">
        <v>16322.772499999999</v>
      </c>
      <c r="R18" s="1">
        <v>2.2250000000000001</v>
      </c>
      <c r="S18" s="2">
        <f t="shared" ref="S18" si="222">N18/P18</f>
        <v>7.4999999999999997E-3</v>
      </c>
      <c r="T18" s="13">
        <f>Q18*EXP((O18-M18)*24*DATA!$B$4)</f>
        <v>26112.074303003301</v>
      </c>
      <c r="U18" s="20">
        <f t="shared" ref="U18" si="223">T18/S18</f>
        <v>3481609.907067107</v>
      </c>
      <c r="V18" s="48">
        <v>45341.729861111111</v>
      </c>
      <c r="W18" s="1">
        <v>292.2</v>
      </c>
      <c r="X18" s="1">
        <v>187591.24</v>
      </c>
      <c r="Y18" s="19">
        <f t="shared" si="207"/>
        <v>1.9333333333488554</v>
      </c>
      <c r="Z18" s="19">
        <f t="shared" si="208"/>
        <v>54.814160327999993</v>
      </c>
      <c r="AA18" s="17">
        <f>IF(Z18 = "", "", Z18*EXP(Y18*DATA!$B$4)*EXP(-DATA!$B$5*'Inputs-new'!Y18))</f>
        <v>55.166118524651765</v>
      </c>
      <c r="AB18" s="48">
        <v>45342.309027777781</v>
      </c>
      <c r="AC18" s="1">
        <v>191.9</v>
      </c>
      <c r="AD18" s="1">
        <v>199913.81</v>
      </c>
      <c r="AE18" s="19">
        <f t="shared" si="209"/>
        <v>15.833333333430346</v>
      </c>
      <c r="AF18" s="19">
        <f t="shared" si="210"/>
        <v>38.363460138999997</v>
      </c>
      <c r="AG18" s="17">
        <f>IF(AF18 = "", "", AF18*EXP(AE18*DATA!$B$4)*EXP(-DATA!$B$5*'Inputs-new'!AE18))</f>
        <v>40.427999125415774</v>
      </c>
      <c r="AH18" s="48">
        <v>45343.304861111108</v>
      </c>
      <c r="AI18" s="1">
        <v>108.1</v>
      </c>
      <c r="AJ18" s="1">
        <v>199913.81</v>
      </c>
      <c r="AK18" s="19">
        <f t="shared" si="211"/>
        <v>39.733333333279006</v>
      </c>
      <c r="AL18" s="19">
        <f t="shared" si="212"/>
        <v>21.610682860999997</v>
      </c>
      <c r="AM18" s="17">
        <f>IF(AL18 = "", "", AL18*EXP(AK18*DATA!$B$4)*EXP(-DATA!$B$5*'Inputs-new'!AK18))</f>
        <v>24.648775283516684</v>
      </c>
      <c r="AN18" s="48">
        <v>45344.311805555553</v>
      </c>
      <c r="AO18" s="1">
        <v>69.099999999999994</v>
      </c>
      <c r="AP18" s="1">
        <v>213997.92</v>
      </c>
      <c r="AQ18" s="19">
        <f t="shared" si="213"/>
        <v>63.899999999965075</v>
      </c>
      <c r="AR18" s="19">
        <f t="shared" si="214"/>
        <v>14.787256272</v>
      </c>
      <c r="AS18" s="17">
        <f>IF(AR18 = "", "", AR18*EXP(AQ18*DATA!$B$4)*EXP(-DATA!$B$5*'Inputs-new'!AQ18))</f>
        <v>18.270912395843396</v>
      </c>
      <c r="AT18" s="1"/>
      <c r="AU18" s="1"/>
      <c r="AV18" s="1"/>
      <c r="AW18" s="19" t="str">
        <f t="shared" si="117"/>
        <v/>
      </c>
      <c r="AX18" s="19" t="str">
        <f t="shared" si="118"/>
        <v/>
      </c>
      <c r="AY18" s="17" t="str">
        <f>IF(AX18 = "", "", AX18*EXP(AW18*DATA!$B$4)*EXP(-DATA!$B$5*'Inputs-new'!AW18))</f>
        <v/>
      </c>
      <c r="AZ18" s="80">
        <v>45341.71875</v>
      </c>
      <c r="BA18" s="80">
        <v>45344.423611111109</v>
      </c>
      <c r="BB18" s="1">
        <v>9925.67</v>
      </c>
      <c r="BC18" s="63">
        <f t="shared" ref="BC18" si="224">IF(AZ18 = "", "", 24*(AZ18-$L18))</f>
        <v>1.6666666666860692</v>
      </c>
      <c r="BD18" s="12">
        <f>IF(BB18 = "", "", BB18*EXP(DATA!$B$4*(BA18-AZ18)*24))</f>
        <v>15543.725782356814</v>
      </c>
      <c r="BE18" s="12">
        <f>IF(BD18 = "", "", BD18*EXP(BC18*DATA!$B$4)*EXP(-BC18*DATA!$B$5))</f>
        <v>15629.726794716551</v>
      </c>
      <c r="BF18" s="14">
        <f t="shared" ref="BF18" si="225">BD18*$S18/$T18</f>
        <v>4.4645225046049978E-3</v>
      </c>
      <c r="BG18" s="14">
        <f t="shared" ref="BG18" si="226">BE18*$S18/$T18</f>
        <v>4.4892240118546093E-3</v>
      </c>
      <c r="BH18" s="16">
        <v>45342.348611111112</v>
      </c>
      <c r="BI18" s="16">
        <v>45344.429861111108</v>
      </c>
      <c r="BJ18" s="1">
        <v>7427.3424999999997</v>
      </c>
      <c r="BK18" s="63">
        <f t="shared" ref="BK18" si="227">IF(BH18 = "", "", 24*(BH18-$L18))</f>
        <v>16.78333333338378</v>
      </c>
      <c r="BL18" s="12">
        <f>IF(BJ18 = "", "", BJ18*EXP(DATA!$B$4*(BI18-BH18)*24))</f>
        <v>10488.618820514112</v>
      </c>
      <c r="BM18" s="12">
        <f>IF(BL18 = "", "", BL18*EXP(BK18*DATA!$B$4)*EXP(-BK18*DATA!$B$5))</f>
        <v>11087.883339001364</v>
      </c>
      <c r="BN18" s="14">
        <f t="shared" ref="BN18" si="228">BL18*$S18/$T18</f>
        <v>3.0125772560630378E-3</v>
      </c>
      <c r="BO18" s="14">
        <f t="shared" ref="BO18" si="229">BM18*($S18/$T18)</f>
        <v>3.1847000769657592E-3</v>
      </c>
      <c r="BP18" s="16">
        <v>45343.344444444447</v>
      </c>
      <c r="BQ18" s="16">
        <v>45344.436111111114</v>
      </c>
      <c r="BR18" s="1">
        <v>5493.23</v>
      </c>
      <c r="BS18" s="2">
        <f t="shared" ref="BS18" si="230">IF(BP18 = "", "", 24*(BP18-$L18))</f>
        <v>40.683333333407063</v>
      </c>
      <c r="BT18" s="12">
        <f>IF(BR18 = "", "", BR18*EXP(DATA!$B$4*(BQ18-BP18)*24))</f>
        <v>6583.3366426911443</v>
      </c>
      <c r="BU18" s="12">
        <f>IF(BT18 = "", "", BT18*EXP(BS18*DATA!$B$4)*EXP(-BS18*DATA!$B$5))</f>
        <v>7532.4938815611094</v>
      </c>
      <c r="BV18" s="14">
        <f t="shared" ref="BV18" si="231">BT18*$S18/$T18</f>
        <v>1.8908886458899466E-3</v>
      </c>
      <c r="BW18" s="2">
        <f t="shared" ref="BW18" si="232">BU18*$S18/$T18</f>
        <v>2.1635088601601694E-3</v>
      </c>
      <c r="BX18" s="16">
        <v>45344.298611111109</v>
      </c>
      <c r="BY18" s="16">
        <v>45344.442361111112</v>
      </c>
      <c r="BZ18" s="1">
        <v>3864.9324999999999</v>
      </c>
      <c r="CA18" s="12">
        <f t="shared" ref="CA18" si="233">IF(BX18 = "", "", 24*(BX18-$L18))</f>
        <v>63.583333333313931</v>
      </c>
      <c r="CB18" s="12">
        <f>IF(BZ18 = "", "", BZ18*EXP(DATA!$B$4*(BY18-BX18)*24))</f>
        <v>3958.1688861481971</v>
      </c>
      <c r="CC18" s="12">
        <f>IF(CB18 = "", "", CB18*EXP(CA18*DATA!$B$4)*EXP(-CA18*DATA!$B$5))</f>
        <v>4885.5298021548178</v>
      </c>
      <c r="CD18" s="14">
        <f t="shared" ref="CD18" si="234">CB18*$S18/$T18</f>
        <v>1.1368789128597527E-3</v>
      </c>
      <c r="CE18" s="60">
        <f t="shared" ref="CE18" si="235">CC18*($S18/$T18)</f>
        <v>1.4032387121365839E-3</v>
      </c>
      <c r="CF18" s="16"/>
      <c r="CG18" s="16"/>
      <c r="CH18" s="1"/>
      <c r="CI18" s="12" t="str">
        <f t="shared" si="215"/>
        <v/>
      </c>
      <c r="CJ18" s="12" t="str">
        <f>IF(CH18 = "", "", CH18*EXP(DATA!$B$4*(CG18-CF18)*24))</f>
        <v/>
      </c>
      <c r="CK18" s="12" t="str">
        <f>IF(CJ18 = "", "", CJ18*EXP(CI18*DATA!$B$4)*EXP(-CI18*DATA!$B$5))</f>
        <v/>
      </c>
      <c r="CL18" s="61" t="e">
        <f t="shared" si="216"/>
        <v>#VALUE!</v>
      </c>
      <c r="CM18" s="62" t="e">
        <f t="shared" si="217"/>
        <v>#VALUE!</v>
      </c>
      <c r="CN18" s="41">
        <f t="shared" si="148"/>
        <v>55.166118524651765</v>
      </c>
      <c r="CO18" s="42">
        <f t="shared" si="149"/>
        <v>40.427999125415774</v>
      </c>
      <c r="CP18" s="42">
        <f t="shared" si="150"/>
        <v>24.648775283516684</v>
      </c>
      <c r="CQ18" s="42">
        <f t="shared" si="151"/>
        <v>18.270912395843396</v>
      </c>
      <c r="CR18" s="42" t="str">
        <f t="shared" si="152"/>
        <v/>
      </c>
      <c r="CS18" s="42">
        <f t="shared" si="153"/>
        <v>1.9333333333488554</v>
      </c>
      <c r="CT18" s="42">
        <f t="shared" si="154"/>
        <v>15.833333333430346</v>
      </c>
      <c r="CU18" s="42">
        <f t="shared" si="155"/>
        <v>39.733333333279006</v>
      </c>
      <c r="CV18" s="42">
        <f t="shared" si="156"/>
        <v>63.899999999965075</v>
      </c>
      <c r="CW18" s="42" t="str">
        <f t="shared" si="157"/>
        <v/>
      </c>
      <c r="CX18" s="75">
        <f t="array" ref="CX18:CY18">LOGEST(CN18:CQ18,CS18:CV18,TRUE,TRUE)</f>
        <v>0.98218423176727099</v>
      </c>
      <c r="CY18" s="75">
        <v>54.628754831562567</v>
      </c>
      <c r="CZ18" s="76">
        <v>0</v>
      </c>
      <c r="DA18" s="2">
        <v>2</v>
      </c>
      <c r="DB18" s="2">
        <v>4</v>
      </c>
      <c r="DC18" s="2">
        <v>10</v>
      </c>
      <c r="DD18" s="2">
        <v>18</v>
      </c>
      <c r="DE18" s="2">
        <v>24</v>
      </c>
      <c r="DF18" s="2">
        <v>26</v>
      </c>
      <c r="DG18" s="2">
        <v>34</v>
      </c>
      <c r="DH18" s="2">
        <v>42</v>
      </c>
      <c r="DI18" s="2">
        <v>48</v>
      </c>
      <c r="DJ18" s="2">
        <v>50</v>
      </c>
      <c r="DK18" s="2">
        <v>58</v>
      </c>
      <c r="DL18" s="2">
        <v>66</v>
      </c>
      <c r="DM18" s="2">
        <v>74</v>
      </c>
      <c r="DN18" s="2">
        <f t="shared" si="158"/>
        <v>0.98339316844249869</v>
      </c>
      <c r="DO18" s="2">
        <f t="shared" si="159"/>
        <v>0.94866548946411033</v>
      </c>
      <c r="DP18" s="2">
        <f t="shared" si="160"/>
        <v>0.91516418842480818</v>
      </c>
      <c r="DQ18" s="2">
        <f t="shared" si="161"/>
        <v>0.8215930611793375</v>
      </c>
      <c r="DR18" s="2">
        <f t="shared" si="162"/>
        <v>0.71154180865095296</v>
      </c>
      <c r="DS18" s="2">
        <f t="shared" si="163"/>
        <v>0.6387900882931572</v>
      </c>
      <c r="DT18" s="2">
        <f t="shared" si="164"/>
        <v>0.6162317689629998</v>
      </c>
      <c r="DU18" s="2">
        <f t="shared" si="165"/>
        <v>0.53368837707405947</v>
      </c>
      <c r="DV18" s="2">
        <f t="shared" si="166"/>
        <v>0.46220155819497355</v>
      </c>
      <c r="DW18" s="2">
        <f t="shared" si="167"/>
        <v>0.41494367664548137</v>
      </c>
      <c r="DX18" s="2">
        <f t="shared" si="168"/>
        <v>0.40029029968590868</v>
      </c>
      <c r="DY18" s="2">
        <f t="shared" si="169"/>
        <v>0.3466719684987361</v>
      </c>
      <c r="DZ18" s="2">
        <f t="shared" si="170"/>
        <v>0.30023573850550489</v>
      </c>
      <c r="EA18" s="73">
        <f t="shared" si="171"/>
        <v>0.26001957719946012</v>
      </c>
      <c r="EB18" s="75">
        <f t="array" ref="EB18:EC18">LOGEST(DN18:EA18,CZ18:DM18,TRUE,TRUE)</f>
        <v>0.98218423176727099</v>
      </c>
      <c r="EC18" s="75">
        <v>0.98339316844249847</v>
      </c>
      <c r="ED18" s="2">
        <f t="shared" si="172"/>
        <v>1.797637949967858E-2</v>
      </c>
      <c r="EE18" s="2">
        <f t="shared" si="173"/>
        <v>38.558775451549565</v>
      </c>
      <c r="EF18" s="17">
        <f t="shared" si="174"/>
        <v>54.704740098532163</v>
      </c>
      <c r="EG18" s="2">
        <f t="shared" si="175"/>
        <v>4.4892240118546093E-3</v>
      </c>
      <c r="EH18" s="2">
        <f t="shared" si="176"/>
        <v>3.1847000769657592E-3</v>
      </c>
      <c r="EI18" s="2">
        <f t="shared" si="177"/>
        <v>2.1635088601601694E-3</v>
      </c>
      <c r="EJ18" s="2">
        <f t="shared" si="178"/>
        <v>1.4032387121365839E-3</v>
      </c>
      <c r="EK18" s="2" t="e">
        <f t="shared" si="179"/>
        <v>#VALUE!</v>
      </c>
      <c r="EL18" s="12">
        <f t="shared" si="180"/>
        <v>1.6666666666860692</v>
      </c>
      <c r="EM18" s="12">
        <f t="shared" si="181"/>
        <v>16.78333333338378</v>
      </c>
      <c r="EN18" s="12">
        <f t="shared" si="182"/>
        <v>40.683333333407063</v>
      </c>
      <c r="EO18" s="12">
        <f t="shared" si="183"/>
        <v>63.583333333313931</v>
      </c>
      <c r="EP18" s="12" t="str">
        <f t="shared" si="184"/>
        <v/>
      </c>
      <c r="EQ18" s="35">
        <f t="array" ref="EQ18:ER18">LOGEST(EG18:EJ18, EL18:EO18, TRUE, TRUE)</f>
        <v>0.98177163753010044</v>
      </c>
      <c r="ER18" s="35">
        <v>4.5133008084389144E-3</v>
      </c>
      <c r="ES18" s="53">
        <v>0</v>
      </c>
      <c r="ET18" s="53">
        <v>2</v>
      </c>
      <c r="EU18" s="53">
        <v>4</v>
      </c>
      <c r="EV18" s="53">
        <v>10</v>
      </c>
      <c r="EW18" s="53">
        <v>18</v>
      </c>
      <c r="EX18" s="53">
        <v>24</v>
      </c>
      <c r="EY18" s="53">
        <v>26</v>
      </c>
      <c r="EZ18" s="53">
        <v>34</v>
      </c>
      <c r="FA18" s="53">
        <v>42</v>
      </c>
      <c r="FB18" s="53">
        <v>48</v>
      </c>
      <c r="FC18" s="53">
        <v>50</v>
      </c>
      <c r="FD18" s="53">
        <v>58</v>
      </c>
      <c r="FE18" s="53">
        <v>66</v>
      </c>
      <c r="FF18" s="53">
        <v>72</v>
      </c>
      <c r="FG18" s="53">
        <v>78</v>
      </c>
      <c r="FH18" s="53">
        <v>84</v>
      </c>
      <c r="FI18" s="53">
        <v>90</v>
      </c>
      <c r="FJ18" s="53">
        <v>96</v>
      </c>
      <c r="FK18" s="54">
        <f t="shared" si="185"/>
        <v>8.124565891771916E-5</v>
      </c>
      <c r="FL18" s="54">
        <f t="shared" si="186"/>
        <v>7.8310704032942487E-5</v>
      </c>
      <c r="FM18" s="54">
        <f t="shared" si="187"/>
        <v>7.5481772784264306E-5</v>
      </c>
      <c r="FN18" s="54">
        <f t="shared" si="188"/>
        <v>6.7593507190955875E-5</v>
      </c>
      <c r="FO18" s="54">
        <f t="shared" si="189"/>
        <v>5.8343010330386517E-5</v>
      </c>
      <c r="FP18" s="54">
        <f t="shared" si="190"/>
        <v>5.2245840854589989E-5</v>
      </c>
      <c r="FQ18" s="54">
        <f t="shared" si="191"/>
        <v>5.0358488497946082E-5</v>
      </c>
      <c r="FR18" s="54">
        <f t="shared" si="192"/>
        <v>4.3466686916512543E-5</v>
      </c>
      <c r="FS18" s="54">
        <f t="shared" si="193"/>
        <v>3.7518061559277779E-5</v>
      </c>
      <c r="FT18" s="54">
        <f t="shared" si="194"/>
        <v>3.3597215198507414E-5</v>
      </c>
      <c r="FU18" s="54">
        <f t="shared" si="195"/>
        <v>3.2383534219421322E-5</v>
      </c>
      <c r="FV18" s="54">
        <f t="shared" si="196"/>
        <v>2.7951691664120679E-5</v>
      </c>
      <c r="FW18" s="54">
        <f t="shared" si="197"/>
        <v>2.4126368097818918E-5</v>
      </c>
      <c r="FX18" s="54">
        <f t="shared" si="198"/>
        <v>2.1605028278450054E-5</v>
      </c>
      <c r="FY18" s="54">
        <f t="shared" si="199"/>
        <v>1.9347182510857247E-5</v>
      </c>
      <c r="FZ18" s="54">
        <f t="shared" si="200"/>
        <v>1.7325294199303578E-5</v>
      </c>
      <c r="GA18" s="54">
        <f t="shared" si="201"/>
        <v>1.5514704475650406E-5</v>
      </c>
      <c r="GB18" s="77">
        <f t="shared" si="202"/>
        <v>1.3893331460798078E-5</v>
      </c>
      <c r="GC18" s="75">
        <f t="array" ref="GC18:GD18">LOGEST(FK18:GB18, ES18:FJ18, TRUE, TRUE)</f>
        <v>0.98177163753010044</v>
      </c>
      <c r="GD18" s="75">
        <v>8.1245658917718997E-5</v>
      </c>
      <c r="GE18" s="2">
        <f t="shared" si="203"/>
        <v>1.8396546011249001E-2</v>
      </c>
      <c r="GF18" s="2">
        <f t="shared" si="204"/>
        <v>37.678115236202714</v>
      </c>
      <c r="GG18" s="2">
        <f>(GF18*DATA!$B$3)/(DATA!$B$3+GF18)</f>
        <v>31.513348882187973</v>
      </c>
      <c r="GH18" s="17">
        <f t="shared" si="205"/>
        <v>3.6937649988982415E-3</v>
      </c>
      <c r="GI18" s="96">
        <f>DATA!$B$6/DW18</f>
        <v>7.1334982712098487</v>
      </c>
      <c r="GJ18" s="96"/>
      <c r="GK18" s="2">
        <f t="shared" si="206"/>
        <v>1.2266585275662442E-3</v>
      </c>
      <c r="GL18" s="2">
        <f>GK18*EF18 + GH18*DATA!$B$8</f>
        <v>0.46603065582116965</v>
      </c>
      <c r="GM18" s="96">
        <f>DATA!$B$7/GL18</f>
        <v>4.2915631729760326</v>
      </c>
      <c r="GN18" s="96"/>
      <c r="GO18" s="93">
        <f t="shared" si="218"/>
        <v>7.1334982712098487</v>
      </c>
      <c r="GP18" s="51">
        <f t="shared" si="219"/>
        <v>192</v>
      </c>
      <c r="GQ18" s="93">
        <f t="shared" si="220"/>
        <v>4.2915631729760326</v>
      </c>
      <c r="GR18" s="51">
        <f t="shared" si="221"/>
        <v>115</v>
      </c>
      <c r="GS18" s="1"/>
      <c r="GT18" s="1"/>
      <c r="GU18" s="1"/>
      <c r="GV18" s="57">
        <f>V18</f>
        <v>45341.729861111111</v>
      </c>
      <c r="GW18" s="2">
        <f t="shared" ref="GW18:GW29" si="236">Y18</f>
        <v>1.9333333333488554</v>
      </c>
      <c r="GX18" s="1"/>
      <c r="GY18" s="2" t="str">
        <f t="shared" si="105"/>
        <v/>
      </c>
      <c r="GZ18" s="2" t="str">
        <f t="shared" si="106"/>
        <v/>
      </c>
      <c r="HA18" s="1"/>
      <c r="HB18" s="1"/>
      <c r="HC18" s="1"/>
      <c r="HD18" s="57">
        <f t="shared" ref="HD18:HD21" si="237">AB18</f>
        <v>45342.309027777781</v>
      </c>
      <c r="HE18" s="2">
        <f t="shared" ref="HE18:HE21" si="238">AE18</f>
        <v>15.833333333430346</v>
      </c>
      <c r="HF18" s="1"/>
      <c r="HG18" s="1"/>
      <c r="HH18" s="1"/>
      <c r="HI18" s="57">
        <f t="shared" si="107"/>
        <v>45343.304861111108</v>
      </c>
      <c r="HJ18" s="2">
        <f t="shared" si="108"/>
        <v>39.733333333279006</v>
      </c>
      <c r="HK18" s="1"/>
      <c r="HL18" s="1"/>
      <c r="HM18" s="1"/>
      <c r="HN18" s="57">
        <f t="shared" si="122"/>
        <v>45344.311805555553</v>
      </c>
      <c r="HO18" s="2">
        <f t="shared" si="123"/>
        <v>63.899999999965075</v>
      </c>
      <c r="HP18" s="1"/>
      <c r="HQ18" s="1"/>
      <c r="HR18" s="1"/>
      <c r="HS18" s="57">
        <f t="shared" si="124"/>
        <v>0</v>
      </c>
      <c r="HT18" s="2" t="str">
        <f t="shared" si="125"/>
        <v/>
      </c>
      <c r="HU18" s="72">
        <f t="shared" si="126"/>
        <v>1.9333333333488554</v>
      </c>
      <c r="HV18" s="72">
        <f t="shared" si="127"/>
        <v>15.833333333430346</v>
      </c>
      <c r="HW18" s="72">
        <f t="shared" si="128"/>
        <v>39.733333333279006</v>
      </c>
      <c r="HX18" s="72">
        <f t="shared" si="129"/>
        <v>63.899999999965075</v>
      </c>
      <c r="HY18" s="72" t="str">
        <f t="shared" si="130"/>
        <v/>
      </c>
      <c r="HZ18" s="2" t="e">
        <f t="shared" si="131"/>
        <v>#VALUE!</v>
      </c>
      <c r="IA18" s="2" t="e">
        <f t="shared" si="132"/>
        <v>#VALUE!</v>
      </c>
      <c r="IB18" s="2" t="e">
        <f t="shared" si="133"/>
        <v>#VALUE!</v>
      </c>
      <c r="IC18" s="2" t="e">
        <f t="shared" si="134"/>
        <v>#VALUE!</v>
      </c>
      <c r="ID18" s="2" t="e">
        <f t="shared" si="135"/>
        <v>#VALUE!</v>
      </c>
      <c r="IE18" s="14" t="e">
        <f>HZ18*EXP(DATA!$B$4*'Inputs-new'!HU18)</f>
        <v>#VALUE!</v>
      </c>
      <c r="IF18" s="14" t="e">
        <f>IA18*EXP(DATA!$B$4*'Inputs-new'!HV18)</f>
        <v>#VALUE!</v>
      </c>
      <c r="IG18" s="14" t="e">
        <f>IB18*EXP(DATA!$B$4*'Inputs-new'!HW18)</f>
        <v>#VALUE!</v>
      </c>
      <c r="IH18" s="14" t="e">
        <f>IC18*EXP(DATA!$B$4*'Inputs-new'!HX18)</f>
        <v>#VALUE!</v>
      </c>
      <c r="II18" s="14" t="e">
        <f>ID18*EXP(DATA!$B$4*'Inputs-new'!HY18)</f>
        <v>#VALUE!</v>
      </c>
      <c r="IJ18" s="2" t="e">
        <f t="array" ref="IJ18:IK18">LOGEST(IF18:IH18, HV18:HX18, TRUE, FALSE)</f>
        <v>#VALUE!</v>
      </c>
      <c r="IK18" s="2" t="e">
        <v>#VALUE!</v>
      </c>
      <c r="IL18" s="2" t="e">
        <f t="shared" si="136"/>
        <v>#VALUE!</v>
      </c>
      <c r="IM18" s="2" t="e">
        <f t="shared" si="137"/>
        <v>#VALUE!</v>
      </c>
      <c r="IN18" s="2" t="e">
        <f>(IM18*DATA!$B$3)/(DATA!$B$3+'Inputs-new'!IM18)</f>
        <v>#VALUE!</v>
      </c>
      <c r="IO18" s="2" t="e">
        <f t="shared" si="138"/>
        <v>#VALUE!</v>
      </c>
      <c r="IP18" s="2" t="e">
        <f t="shared" si="139"/>
        <v>#VALUE!</v>
      </c>
      <c r="IQ18" s="2" t="e">
        <f t="shared" si="140"/>
        <v>#VALUE!</v>
      </c>
      <c r="IR18" s="2" t="e">
        <f t="shared" si="141"/>
        <v>#VALUE!</v>
      </c>
      <c r="IS18" s="2" t="e">
        <f t="shared" si="142"/>
        <v>#VALUE!</v>
      </c>
      <c r="IT18" s="63" t="e">
        <f t="shared" si="143"/>
        <v>#VALUE!</v>
      </c>
      <c r="IU18" s="2" t="e">
        <f t="shared" si="144"/>
        <v>#VALUE!</v>
      </c>
      <c r="IV18" s="72" t="e">
        <f t="shared" si="145"/>
        <v>#VALUE!</v>
      </c>
    </row>
    <row r="19" spans="1:256" ht="15.75" thickBot="1" x14ac:dyDescent="0.3">
      <c r="A19" s="1">
        <v>18</v>
      </c>
      <c r="B19" s="1"/>
      <c r="C19" s="1" t="s">
        <v>160</v>
      </c>
      <c r="D19" s="46"/>
      <c r="E19" s="1">
        <v>162</v>
      </c>
      <c r="F19" s="1">
        <v>49</v>
      </c>
      <c r="G19" s="2">
        <f t="shared" si="146"/>
        <v>74.81</v>
      </c>
      <c r="H19" s="1">
        <v>56.7</v>
      </c>
      <c r="I19" s="63">
        <f>Z19*EXP(DATA!$B$4*Y19)</f>
        <v>50.550548128106335</v>
      </c>
      <c r="J19" s="63">
        <f>AA19*EXP(DATA!$B$5*'Inputs-new'!Y19)</f>
        <v>50.550548128106335</v>
      </c>
      <c r="K19" s="1"/>
      <c r="L19" s="48">
        <v>45355.602777777778</v>
      </c>
      <c r="M19" s="48">
        <v>45355.611805555556</v>
      </c>
      <c r="N19" s="1">
        <v>12.16</v>
      </c>
      <c r="O19" s="48">
        <v>45358.449305555558</v>
      </c>
      <c r="P19" s="1">
        <v>200</v>
      </c>
      <c r="Q19" s="1">
        <v>200030.7225</v>
      </c>
      <c r="R19" s="1">
        <v>21.497499999999999</v>
      </c>
      <c r="S19" s="2">
        <f t="shared" ref="S19:S21" si="239">N19/P19</f>
        <v>6.08E-2</v>
      </c>
      <c r="T19" s="13">
        <f>Q19*EXP((O19-M19)*24*DATA!$B$4)</f>
        <v>320216.87771160173</v>
      </c>
      <c r="U19" s="20">
        <f t="shared" ref="U19:U21" si="240">T19/S19</f>
        <v>5266724.9623618703</v>
      </c>
      <c r="V19" s="48">
        <v>45355.695138888892</v>
      </c>
      <c r="W19" s="1">
        <v>283</v>
      </c>
      <c r="X19" s="1">
        <v>175908.93</v>
      </c>
      <c r="Y19" s="19">
        <f t="shared" ref="Y19:Y23" si="241">IF(V19="","",(V19-$L19)*24)</f>
        <v>2.2166666667326353</v>
      </c>
      <c r="Z19" s="19">
        <f t="shared" ref="Z19:Z23" si="242">IF(W19 = "", "", W19*X19/1000000)</f>
        <v>49.78222719</v>
      </c>
      <c r="AA19" s="17">
        <f>IF(Z19 = "", "", Z19*EXP(Y19*DATA!$B$4)*EXP(-DATA!$B$5*'Inputs-new'!Y19))</f>
        <v>50.14889282427756</v>
      </c>
      <c r="AB19" s="48">
        <v>45356.331250000003</v>
      </c>
      <c r="AC19" s="1">
        <v>128.4</v>
      </c>
      <c r="AD19" s="1">
        <v>184700.36</v>
      </c>
      <c r="AE19" s="19">
        <f t="shared" ref="AE19:AE23" si="243">IF(AB19="","",(AB19-$L19)*24)</f>
        <v>17.483333333395422</v>
      </c>
      <c r="AF19" s="19">
        <f t="shared" ref="AF19:AF23" si="244">IF(AC19 = "", "", AC19*AD19/1000000)</f>
        <v>23.715526223999998</v>
      </c>
      <c r="AG19" s="17">
        <f>IF(AF19 = "", "", AF19*EXP(AE19*DATA!$B$4)*EXP(-DATA!$B$5*'Inputs-new'!AE19))</f>
        <v>25.128672170150359</v>
      </c>
      <c r="AH19" s="48">
        <v>45357.322916666664</v>
      </c>
      <c r="AI19" s="1">
        <v>61.9</v>
      </c>
      <c r="AJ19" s="1">
        <v>177940.34</v>
      </c>
      <c r="AK19" s="19">
        <f t="shared" ref="AK19:AK21" si="245">IF(AH19="","",(AH19-$L19)*24)</f>
        <v>41.283333333267365</v>
      </c>
      <c r="AL19" s="19">
        <f t="shared" ref="AL19:AL21" si="246">IF(AI19 = "", "", AI19*AJ19/1000000)</f>
        <v>11.014507046</v>
      </c>
      <c r="AM19" s="17">
        <f>IF(AL19 = "", "", AL19*EXP(AK19*DATA!$B$4)*EXP(-DATA!$B$5*'Inputs-new'!AK19))</f>
        <v>12.627589140544083</v>
      </c>
      <c r="AN19" s="48">
        <v>45358.324305555558</v>
      </c>
      <c r="AO19" s="1">
        <v>32</v>
      </c>
      <c r="AP19" s="1">
        <v>168165.3</v>
      </c>
      <c r="AQ19" s="19">
        <f t="shared" ref="AQ19:AQ21" si="247">IF(AN19="","",(AN19-$L19)*24)</f>
        <v>65.316666666709352</v>
      </c>
      <c r="AR19" s="19">
        <f t="shared" ref="AR19:AR21" si="248">IF(AO19 = "", "", AO19*AP19/1000000)</f>
        <v>5.3812895999999997</v>
      </c>
      <c r="AS19" s="17">
        <f>IF(AR19 = "", "", AR19*EXP(AQ19*DATA!$B$4)*EXP(-DATA!$B$5*'Inputs-new'!AQ19))</f>
        <v>6.6802977819306193</v>
      </c>
      <c r="AT19" s="1"/>
      <c r="AU19" s="1"/>
      <c r="AV19" s="1"/>
      <c r="AW19" s="19" t="str">
        <f t="shared" ref="AW19:AW21" si="249">IF(AT19="","",(AT19-$L19)*24)</f>
        <v/>
      </c>
      <c r="AX19" s="19" t="str">
        <f t="shared" ref="AX19:AX21" si="250">IF(AU19 = "", "", AU19*AV19/1000000)</f>
        <v/>
      </c>
      <c r="AY19" s="17" t="str">
        <f>IF(AX19 = "", "", AX19*EXP(AW19*DATA!$B$4)*EXP(-DATA!$B$5*'Inputs-new'!AW19))</f>
        <v/>
      </c>
      <c r="AZ19" s="80">
        <v>45355.677777777775</v>
      </c>
      <c r="BA19" s="80">
        <v>45358.427083333336</v>
      </c>
      <c r="BB19" s="1">
        <v>12823.942499999999</v>
      </c>
      <c r="BC19" s="63">
        <f t="shared" ref="BC19:BC21" si="251">IF(AZ19 = "", "", 24*(AZ19-$L19))</f>
        <v>1.7999999999301508</v>
      </c>
      <c r="BD19" s="12">
        <f>IF(BB19 = "", "", BB19*EXP(DATA!$B$4*(BA19-AZ19)*24))</f>
        <v>20231.011651822835</v>
      </c>
      <c r="BE19" s="12">
        <f>IF(BD19 = "", "", BD19*EXP(BC19*DATA!$B$4)*EXP(-BC19*DATA!$B$5))</f>
        <v>20351.928198484635</v>
      </c>
      <c r="BF19" s="14">
        <f t="shared" ref="BF19:BF21" si="252">BD19*$S19/$T19</f>
        <v>3.8412888078268302E-3</v>
      </c>
      <c r="BG19" s="14">
        <f t="shared" ref="BG19:BG21" si="253">BE19*$S19/$T19</f>
        <v>3.8642473916765496E-3</v>
      </c>
      <c r="BH19" s="16">
        <v>45356.381944444445</v>
      </c>
      <c r="BI19" s="16">
        <v>45358.432638888888</v>
      </c>
      <c r="BJ19" s="1">
        <v>6801.4449999999997</v>
      </c>
      <c r="BK19" s="63">
        <f t="shared" ref="BK19:BK21" si="254">IF(BH19 = "", "", 24*(BH19-$L19))</f>
        <v>18.700000000011642</v>
      </c>
      <c r="BL19" s="12">
        <f>IF(BJ19 = "", "", BJ19*EXP(DATA!$B$4*(BI19-BH19)*24))</f>
        <v>9556.2065941636702</v>
      </c>
      <c r="BM19" s="12">
        <f>IF(BL19 = "", "", BL19*EXP(BK19*DATA!$B$4)*EXP(-BK19*DATA!$B$5))</f>
        <v>10166.5025831239</v>
      </c>
      <c r="BN19" s="14">
        <f t="shared" ref="BN19:BN21" si="255">BL19*$S19/$T19</f>
        <v>1.8144495227026579E-3</v>
      </c>
      <c r="BO19" s="14">
        <f t="shared" ref="BO19:BO21" si="256">BM19*($S19/$T19)</f>
        <v>1.930327225320822E-3</v>
      </c>
      <c r="BP19" s="16">
        <v>45357.364583333336</v>
      </c>
      <c r="BQ19" s="16">
        <v>45358.438194444447</v>
      </c>
      <c r="BR19" s="1">
        <v>3542.1750000000002</v>
      </c>
      <c r="BS19" s="2">
        <f t="shared" ref="BS19:BS21" si="257">IF(BP19 = "", "", 24*(BP19-$L19))</f>
        <v>42.28333333338378</v>
      </c>
      <c r="BT19" s="12">
        <f>IF(BR19 = "", "", BR19*EXP(DATA!$B$4*(BQ19-BP19)*24))</f>
        <v>4232.412531374539</v>
      </c>
      <c r="BU19" s="12">
        <f>IF(BT19 = "", "", BT19*EXP(BS19*DATA!$B$4)*EXP(-BS19*DATA!$B$5))</f>
        <v>4868.3425174826343</v>
      </c>
      <c r="BV19" s="14">
        <f t="shared" ref="BV19:BV21" si="258">BT19*$S19/$T19</f>
        <v>8.0361373749741189E-4</v>
      </c>
      <c r="BW19" s="2">
        <f t="shared" ref="BW19:BW21" si="259">BU19*$S19/$T19</f>
        <v>9.243586008902615E-4</v>
      </c>
      <c r="BX19" s="16">
        <v>45358.364583333336</v>
      </c>
      <c r="BY19" s="16">
        <v>45358.443749999999</v>
      </c>
      <c r="BZ19" s="1">
        <v>1927.43</v>
      </c>
      <c r="CA19" s="12">
        <f t="shared" ref="CA19:CA21" si="260">IF(BX19 = "", "", 24*(BX19-$L19))</f>
        <v>66.28333333338378</v>
      </c>
      <c r="CB19" s="12">
        <f>IF(BZ19 = "", "", BZ19*EXP(DATA!$B$4*(BY19-BX19)*24))</f>
        <v>1952.8997061415664</v>
      </c>
      <c r="CC19" s="12">
        <f>IF(CB19 = "", "", CB19*EXP(CA19*DATA!$B$4)*EXP(-CA19*DATA!$B$5))</f>
        <v>2432.0876849120632</v>
      </c>
      <c r="CD19" s="14">
        <f t="shared" ref="CD19:CD21" si="261">CB19*$S19/$T19</f>
        <v>3.7079963736435281E-4</v>
      </c>
      <c r="CE19" s="60">
        <f t="shared" ref="CE19:CE21" si="262">CC19*($S19/$T19)</f>
        <v>4.617836895400344E-4</v>
      </c>
      <c r="CF19" s="16"/>
      <c r="CG19" s="16"/>
      <c r="CH19" s="1"/>
      <c r="CI19" s="12" t="str">
        <f t="shared" ref="CI19:CI21" si="263">IF(CF19 = "", "", 24*(CF19-$L19))</f>
        <v/>
      </c>
      <c r="CJ19" s="12" t="str">
        <f>IF(CH19 = "", "", CH19*EXP(DATA!$B$4*(CG19-CF19)*24))</f>
        <v/>
      </c>
      <c r="CK19" s="12" t="str">
        <f>IF(CJ19 = "", "", CJ19*EXP(CI19*DATA!$B$4)*EXP(-CI19*DATA!$B$5))</f>
        <v/>
      </c>
      <c r="CL19" s="61" t="e">
        <f t="shared" ref="CL19:CL21" si="264">CJ19*$S19/$T19</f>
        <v>#VALUE!</v>
      </c>
      <c r="CM19" s="62" t="e">
        <f t="shared" ref="CM19:CM21" si="265">CK19*($S19/$T19)</f>
        <v>#VALUE!</v>
      </c>
      <c r="CN19" s="41">
        <f t="shared" ref="CN19:CN21" si="266">AA19</f>
        <v>50.14889282427756</v>
      </c>
      <c r="CO19" s="42">
        <f t="shared" ref="CO19:CO21" si="267">AG19</f>
        <v>25.128672170150359</v>
      </c>
      <c r="CP19" s="42">
        <f t="shared" ref="CP19:CP21" si="268">AM19</f>
        <v>12.627589140544083</v>
      </c>
      <c r="CQ19" s="42">
        <f t="shared" ref="CQ19:CQ21" si="269">AS19</f>
        <v>6.6802977819306193</v>
      </c>
      <c r="CR19" s="42" t="str">
        <f t="shared" ref="CR19:CR21" si="270">AY19</f>
        <v/>
      </c>
      <c r="CS19" s="42">
        <f t="shared" ref="CS19:CS21" si="271">Y19</f>
        <v>2.2166666667326353</v>
      </c>
      <c r="CT19" s="42">
        <f t="shared" ref="CT19:CT21" si="272">AE19</f>
        <v>17.483333333395422</v>
      </c>
      <c r="CU19" s="42">
        <f t="shared" ref="CU19:CU21" si="273">AK19</f>
        <v>41.283333333267365</v>
      </c>
      <c r="CV19" s="42">
        <f t="shared" ref="CV19:CV21" si="274">AQ19</f>
        <v>65.316666666709352</v>
      </c>
      <c r="CW19" s="42" t="str">
        <f t="shared" ref="CW19:CW21" si="275">AW19</f>
        <v/>
      </c>
      <c r="CX19" s="75">
        <f t="array" ref="CX19:CY19">LOGEST(CN19:CQ19,CS19:CV19,TRUE,TRUE)</f>
        <v>0.96923086196068176</v>
      </c>
      <c r="CY19" s="75">
        <v>48.439189049880802</v>
      </c>
      <c r="CZ19" s="76">
        <v>0</v>
      </c>
      <c r="DA19" s="2">
        <v>2</v>
      </c>
      <c r="DB19" s="2">
        <v>4</v>
      </c>
      <c r="DC19" s="2">
        <v>10</v>
      </c>
      <c r="DD19" s="2">
        <v>18</v>
      </c>
      <c r="DE19" s="2">
        <v>24</v>
      </c>
      <c r="DF19" s="2">
        <v>26</v>
      </c>
      <c r="DG19" s="2">
        <v>34</v>
      </c>
      <c r="DH19" s="2">
        <v>42</v>
      </c>
      <c r="DI19" s="2">
        <v>48</v>
      </c>
      <c r="DJ19" s="2">
        <v>50</v>
      </c>
      <c r="DK19" s="2">
        <v>58</v>
      </c>
      <c r="DL19" s="2">
        <v>66</v>
      </c>
      <c r="DM19" s="2">
        <v>74</v>
      </c>
      <c r="DN19" s="2">
        <f t="shared" ref="DN19:DN21" si="276">($CY19*$CX19^CZ19)/$J19</f>
        <v>0.95823271643118724</v>
      </c>
      <c r="DO19" s="2">
        <f t="shared" ref="DO19:DO21" si="277">($CY19*$CX19^DA19)/$J19</f>
        <v>0.90017192408352753</v>
      </c>
      <c r="DP19" s="2">
        <f t="shared" ref="DP19:DP21" si="278">($CY19*$CX19^DB19)/$J19</f>
        <v>0.84562912433853443</v>
      </c>
      <c r="DQ19" s="2">
        <f t="shared" ref="DQ19:DQ21" si="279">($CY19*$CX19^DC19)/$J19</f>
        <v>0.70104087100753787</v>
      </c>
      <c r="DR19" s="2">
        <f t="shared" ref="DR19:DR21" si="280">($CY19*$CX19^DD19)/$J19</f>
        <v>0.54596048785165696</v>
      </c>
      <c r="DS19" s="2">
        <f t="shared" ref="DS19:DS21" si="281">($CY19*$CX19^DE19)/$J19</f>
        <v>0.45261049427384881</v>
      </c>
      <c r="DT19" s="2">
        <f t="shared" ref="DT19:DT21" si="282">($CY19*$CX19^DF19)/$J19</f>
        <v>0.42518612911516585</v>
      </c>
      <c r="DU19" s="2">
        <f t="shared" ref="DU19:DU21" si="283">($CY19*$CX19^DG19)/$J19</f>
        <v>0.33112880586526822</v>
      </c>
      <c r="DV19" s="2">
        <f t="shared" ref="DV19:DV21" si="284">($CY19*$CX19^DH19)/$J19</f>
        <v>0.25787832331675081</v>
      </c>
      <c r="DW19" s="2">
        <f t="shared" ref="DW19:DW21" si="285">($CY19*$CX19^DI19)/$J19</f>
        <v>0.21378549909021907</v>
      </c>
      <c r="DX19" s="2">
        <f t="shared" ref="DX19:DX21" si="286">($CY19*$CX19^DJ19)/$J19</f>
        <v>0.20083190727815178</v>
      </c>
      <c r="DY19" s="2">
        <f t="shared" ref="DY19:DY21" si="287">($CY19*$CX19^DK19)/$J19</f>
        <v>0.15640498380097945</v>
      </c>
      <c r="DZ19" s="2">
        <f t="shared" ref="DZ19:DZ21" si="288">($CY19*$CX19^DL19)/$J19</f>
        <v>0.12180593855489361</v>
      </c>
      <c r="EA19" s="73">
        <f t="shared" ref="EA19:EA21" si="289">($CY19*$CX19^DM19)/$J19</f>
        <v>9.4860702687823206E-2</v>
      </c>
      <c r="EB19" s="75">
        <f t="array" ref="EB19:EC19">LOGEST(DN19:EA19,CZ19:DM19,TRUE,TRUE)</f>
        <v>0.96923086196068176</v>
      </c>
      <c r="EC19" s="75">
        <v>0.95823271643118724</v>
      </c>
      <c r="ED19" s="2">
        <f t="shared" ref="ED19:ED21" si="290">-LN(DW19/DN19)/DI19</f>
        <v>3.1252447830389746E-2</v>
      </c>
      <c r="EE19" s="2">
        <f t="shared" ref="EE19:EE21" si="291">LN(2)/ED19</f>
        <v>22.178972486306559</v>
      </c>
      <c r="EF19" s="17">
        <f t="shared" ref="EF19:EF21" si="292">(EC19*EE19)/LN(2)</f>
        <v>30.661045228572654</v>
      </c>
      <c r="EG19" s="2">
        <f t="shared" ref="EG19:EG21" si="293">BG19</f>
        <v>3.8642473916765496E-3</v>
      </c>
      <c r="EH19" s="2">
        <f t="shared" ref="EH19:EH21" si="294">BO19</f>
        <v>1.930327225320822E-3</v>
      </c>
      <c r="EI19" s="2">
        <f t="shared" ref="EI19:EI21" si="295">BW19</f>
        <v>9.243586008902615E-4</v>
      </c>
      <c r="EJ19" s="2">
        <f t="shared" ref="EJ19:EJ21" si="296">CE19</f>
        <v>4.617836895400344E-4</v>
      </c>
      <c r="EK19" s="2" t="e">
        <f t="shared" ref="EK19:EK21" si="297">CM19</f>
        <v>#VALUE!</v>
      </c>
      <c r="EL19" s="12">
        <f t="shared" ref="EL19:EL21" si="298">BC19</f>
        <v>1.7999999999301508</v>
      </c>
      <c r="EM19" s="12">
        <f t="shared" ref="EM19:EM21" si="299">BK19</f>
        <v>18.700000000011642</v>
      </c>
      <c r="EN19" s="12">
        <f t="shared" ref="EN19:EN21" si="300">BS19</f>
        <v>42.28333333338378</v>
      </c>
      <c r="EO19" s="12">
        <f t="shared" ref="EO19:EO21" si="301">CA19</f>
        <v>66.28333333338378</v>
      </c>
      <c r="EP19" s="12" t="str">
        <f t="shared" ref="EP19:EP21" si="302">CI19</f>
        <v/>
      </c>
      <c r="EQ19" s="35">
        <f t="array" ref="EQ19:ER19">LOGEST(EG19:EJ19, EL19:EO19, TRUE, TRUE)</f>
        <v>0.96795664716618934</v>
      </c>
      <c r="ER19" s="35">
        <v>3.8205552253808457E-3</v>
      </c>
      <c r="ES19" s="53">
        <v>0</v>
      </c>
      <c r="ET19" s="53">
        <v>2</v>
      </c>
      <c r="EU19" s="53">
        <v>4</v>
      </c>
      <c r="EV19" s="53">
        <v>10</v>
      </c>
      <c r="EW19" s="53">
        <v>18</v>
      </c>
      <c r="EX19" s="53">
        <v>24</v>
      </c>
      <c r="EY19" s="53">
        <v>26</v>
      </c>
      <c r="EZ19" s="53">
        <v>34</v>
      </c>
      <c r="FA19" s="53">
        <v>42</v>
      </c>
      <c r="FB19" s="53">
        <v>48</v>
      </c>
      <c r="FC19" s="53">
        <v>50</v>
      </c>
      <c r="FD19" s="53">
        <v>58</v>
      </c>
      <c r="FE19" s="53">
        <v>66</v>
      </c>
      <c r="FF19" s="53">
        <v>72</v>
      </c>
      <c r="FG19" s="53">
        <v>78</v>
      </c>
      <c r="FH19" s="53">
        <v>84</v>
      </c>
      <c r="FI19" s="53">
        <v>90</v>
      </c>
      <c r="FJ19" s="53">
        <v>96</v>
      </c>
      <c r="FK19" s="54">
        <f t="shared" ref="FK19:FK21" si="303">($ER19*$EQ19^ES19)/$I19</f>
        <v>7.5578907981347878E-5</v>
      </c>
      <c r="FL19" s="54">
        <f t="shared" ref="FL19:FL21" si="304">($ER19*$EQ19^ET19)/$I19</f>
        <v>7.0812907394517637E-5</v>
      </c>
      <c r="FM19" s="54">
        <f t="shared" ref="FM19:FM21" si="305">($ER19*$EQ19^EU19)/$I19</f>
        <v>6.6347450467292435E-5</v>
      </c>
      <c r="FN19" s="54">
        <f t="shared" ref="FN19:FN21" si="306">($ER19*$EQ19^EV19)/$I19</f>
        <v>5.4570719301027047E-5</v>
      </c>
      <c r="FO19" s="54">
        <f t="shared" ref="FO19:FO21" si="307">($ER19*$EQ19^EW19)/$I19</f>
        <v>4.2053963247695175E-5</v>
      </c>
      <c r="FP19" s="54">
        <f t="shared" ref="FP19:FP21" si="308">($ER19*$EQ19^EX19)/$I19</f>
        <v>3.4589347559285853E-5</v>
      </c>
      <c r="FQ19" s="54">
        <f t="shared" ref="FQ19:FQ21" si="309">($ER19*$EQ19^EY19)/$I19</f>
        <v>3.2408145750888266E-5</v>
      </c>
      <c r="FR19" s="54">
        <f t="shared" ref="FR19:FR21" si="310">($ER19*$EQ19^EZ19)/$I19</f>
        <v>2.4974766464332695E-5</v>
      </c>
      <c r="FS19" s="54">
        <f t="shared" ref="FS19:FS21" si="311">($ER19*$EQ19^FA19)/$I19</f>
        <v>1.9246363699498644E-5</v>
      </c>
      <c r="FT19" s="54">
        <f t="shared" ref="FT19:FT21" si="312">($ER19*$EQ19^FB19)/$I19</f>
        <v>1.5830117112466615E-5</v>
      </c>
      <c r="FU19" s="54">
        <f t="shared" ref="FU19:FU21" si="313">($ER19*$EQ19^FC19)/$I19</f>
        <v>1.4831871048019289E-5</v>
      </c>
      <c r="FV19" s="54">
        <f t="shared" ref="FV19:FV21" si="314">($ER19*$EQ19^FD19)/$I19</f>
        <v>1.1429920073203396E-5</v>
      </c>
      <c r="FW19" s="54">
        <f t="shared" ref="FW19:FW21" si="315">($ER19*$EQ19^FE19)/$I19</f>
        <v>8.8082664996783782E-6</v>
      </c>
      <c r="FX19" s="54">
        <f t="shared" ref="FX19:FX21" si="316">($ER19*$EQ19^FF19)/$I19</f>
        <v>7.2447914018873772E-6</v>
      </c>
      <c r="FY19" s="54">
        <f t="shared" ref="FY19:FY21" si="317">($ER19*$EQ19^FG19)/$I19</f>
        <v>5.958834517413586E-6</v>
      </c>
      <c r="FZ19" s="54">
        <f t="shared" ref="FZ19:FZ21" si="318">($ER19*$EQ19^FH19)/$I19</f>
        <v>4.9011361178279485E-6</v>
      </c>
      <c r="GA19" s="54">
        <f t="shared" ref="GA19:GA21" si="319">($ER19*$EQ19^FI19)/$I19</f>
        <v>4.0311801200856167E-6</v>
      </c>
      <c r="GB19" s="77">
        <f t="shared" ref="GB19:GB21" si="320">($ER19*$EQ19^FJ19)/$I19</f>
        <v>3.3156420817333337E-6</v>
      </c>
      <c r="GC19" s="75">
        <f t="array" ref="GC19:GD19">LOGEST(FK19:GB19, ES19:FJ19, TRUE, TRUE)</f>
        <v>0.96795664716618934</v>
      </c>
      <c r="GD19" s="75">
        <v>7.5578907981347783E-5</v>
      </c>
      <c r="GE19" s="2">
        <f t="shared" ref="GE19:GE21" si="321">-LN(FT19/FK19)/FB19</f>
        <v>3.2567978693823808E-2</v>
      </c>
      <c r="GF19" s="2">
        <f t="shared" ref="GF19:GF21" si="322">LN(2)/GE19</f>
        <v>21.283088738061405</v>
      </c>
      <c r="GG19" s="2">
        <f>(GF19*DATA!$B$3)/(DATA!$B$3+GF19)</f>
        <v>19.165297642433138</v>
      </c>
      <c r="GH19" s="17">
        <f t="shared" ref="GH19:GH21" si="323">(GG19*GD19)/LN(2)</f>
        <v>2.0897326102985226E-3</v>
      </c>
      <c r="GI19" s="96">
        <f>DATA!$B$6/DW19</f>
        <v>13.845653763218328</v>
      </c>
      <c r="GJ19" s="96"/>
      <c r="GK19" s="2">
        <f t="shared" ref="GK19:GK21" si="324">IF(G19&lt;F19, 0.0188*(G19^(-2/3)), 0.0188*F19^(-2/3))</f>
        <v>1.4039785173149367E-3</v>
      </c>
      <c r="GL19" s="2">
        <f>GK19*EF19 + GH19*DATA!$B$8</f>
        <v>0.26873857073157809</v>
      </c>
      <c r="GM19" s="96">
        <f>DATA!$B$7/GL19</f>
        <v>7.4421769623744982</v>
      </c>
      <c r="GN19" s="96"/>
      <c r="GO19" s="93">
        <f t="shared" ref="GO19:GO21" si="325">GI19</f>
        <v>13.845653763218328</v>
      </c>
      <c r="GP19" s="51">
        <f t="shared" ref="GP19:GP21" si="326">ROUNDDOWN(GO19*27.027,0)</f>
        <v>374</v>
      </c>
      <c r="GQ19" s="93">
        <f t="shared" ref="GQ19:GQ21" si="327">GM19</f>
        <v>7.4421769623744982</v>
      </c>
      <c r="GR19" s="51">
        <f t="shared" ref="GR19:GR21" si="328">ROUNDDOWN(GQ19 * 27.027,0)</f>
        <v>201</v>
      </c>
      <c r="GS19" s="1">
        <v>1.07</v>
      </c>
      <c r="GT19" s="1">
        <v>9.11</v>
      </c>
      <c r="GU19" s="1">
        <v>0.71599999999999997</v>
      </c>
      <c r="GV19" s="57">
        <f t="shared" ref="GV19:GV21" si="329">V19</f>
        <v>45355.695138888892</v>
      </c>
      <c r="GW19" s="2">
        <f t="shared" si="236"/>
        <v>2.2166666667326353</v>
      </c>
      <c r="GX19" s="1">
        <v>5</v>
      </c>
      <c r="GY19" s="2">
        <f>IF(GX19 = "", "", 0.001 * 4/3 *3.14159265*(GX19/2)^3)</f>
        <v>6.5449846875000009E-2</v>
      </c>
      <c r="GZ19" s="2">
        <f>IF(GS19="","",((GS19-GU19)*GT19/GY19))</f>
        <v>49.273453705081721</v>
      </c>
      <c r="HA19" s="1">
        <v>1.05</v>
      </c>
      <c r="HB19" s="1">
        <v>12.59</v>
      </c>
      <c r="HC19" s="1">
        <v>0.42</v>
      </c>
      <c r="HD19" s="57">
        <f t="shared" si="237"/>
        <v>45356.331250000003</v>
      </c>
      <c r="HE19" s="2">
        <f t="shared" si="238"/>
        <v>17.483333333395422</v>
      </c>
      <c r="HF19" s="1">
        <v>0.873</v>
      </c>
      <c r="HG19" s="1">
        <v>15</v>
      </c>
      <c r="HH19" s="1">
        <v>0.16700000000000001</v>
      </c>
      <c r="HI19" s="57">
        <f t="shared" si="107"/>
        <v>45357.322916666664</v>
      </c>
      <c r="HJ19" s="2">
        <f t="shared" si="108"/>
        <v>41.283333333267365</v>
      </c>
      <c r="HK19" s="1">
        <v>0.875</v>
      </c>
      <c r="HL19" s="1">
        <v>12.4</v>
      </c>
      <c r="HM19" s="1">
        <v>5.3199999999999997E-2</v>
      </c>
      <c r="HN19" s="57">
        <f t="shared" si="122"/>
        <v>45358.324305555558</v>
      </c>
      <c r="HO19" s="2">
        <f t="shared" si="123"/>
        <v>65.316666666709352</v>
      </c>
      <c r="HP19" s="1"/>
      <c r="HQ19" s="1"/>
      <c r="HR19" s="1"/>
      <c r="HS19" s="57">
        <f t="shared" si="124"/>
        <v>0</v>
      </c>
      <c r="HT19" s="2" t="str">
        <f t="shared" si="125"/>
        <v/>
      </c>
      <c r="HU19" s="72">
        <f t="shared" si="126"/>
        <v>2.2166666667326353</v>
      </c>
      <c r="HV19" s="72">
        <f t="shared" si="127"/>
        <v>17.483333333395422</v>
      </c>
      <c r="HW19" s="72">
        <f t="shared" si="128"/>
        <v>41.283333333267365</v>
      </c>
      <c r="HX19" s="72">
        <f t="shared" si="129"/>
        <v>65.316666666709352</v>
      </c>
      <c r="HY19" s="72" t="str">
        <f t="shared" si="130"/>
        <v/>
      </c>
      <c r="HZ19" s="2">
        <f t="shared" si="131"/>
        <v>49.273453705081721</v>
      </c>
      <c r="IA19" s="2">
        <f t="shared" si="132"/>
        <v>121.18744930218755</v>
      </c>
      <c r="IB19" s="2">
        <f t="shared" si="133"/>
        <v>161.80328152983168</v>
      </c>
      <c r="IC19" s="2">
        <f t="shared" si="134"/>
        <v>155.69662094797678</v>
      </c>
      <c r="ID19" s="2">
        <f t="shared" si="135"/>
        <v>0</v>
      </c>
      <c r="IE19" s="14">
        <f>HZ19*EXP(DATA!$B$4*'Inputs-new'!HU19)</f>
        <v>50.033922416735351</v>
      </c>
      <c r="IF19" s="14">
        <f>IA19*EXP(DATA!$B$4*'Inputs-new'!HV19)</f>
        <v>136.74764103675059</v>
      </c>
      <c r="IG19" s="14">
        <f>IB19*EXP(DATA!$B$4*'Inputs-new'!HW19)</f>
        <v>215.21182466210365</v>
      </c>
      <c r="IH19" s="14">
        <f>IC19*EXP(DATA!$B$4*'Inputs-new'!HX19)</f>
        <v>244.49768998699943</v>
      </c>
      <c r="II19" s="14" t="e">
        <f>ID19*EXP(DATA!$B$4*'Inputs-new'!HY19)</f>
        <v>#VALUE!</v>
      </c>
      <c r="IJ19" s="2">
        <f t="array" ref="IJ19:IK19">LOGEST(IF19:IH19, HV19:HX19, TRUE, FALSE)</f>
        <v>1.0122105496951137</v>
      </c>
      <c r="IK19" s="2">
        <v>116.86334411152018</v>
      </c>
      <c r="IL19" s="2">
        <f t="shared" si="136"/>
        <v>-1.2136602283650461E-2</v>
      </c>
      <c r="IM19" s="2">
        <f t="shared" si="137"/>
        <v>-57.112127789974814</v>
      </c>
      <c r="IN19" s="2">
        <f>(IM19*DATA!$B$3)/(DATA!$B$3+'Inputs-new'!IM19)</f>
        <v>-81.185718542117868</v>
      </c>
      <c r="IO19" s="2">
        <f t="shared" si="138"/>
        <v>116.86334411152018</v>
      </c>
      <c r="IP19" s="2">
        <f t="shared" si="139"/>
        <v>2.3118116111295661</v>
      </c>
      <c r="IQ19" s="2">
        <f t="shared" si="140"/>
        <v>-117.12623353172062</v>
      </c>
      <c r="IR19" s="2">
        <f t="shared" si="141"/>
        <v>-0.27077378664650487</v>
      </c>
      <c r="IS19" s="2">
        <f t="shared" si="142"/>
        <v>102.06331079283675</v>
      </c>
      <c r="IT19" s="63">
        <f t="shared" si="143"/>
        <v>-27.636069141055494</v>
      </c>
      <c r="IU19" s="2">
        <f t="shared" si="144"/>
        <v>-2.7636069141055493E-2</v>
      </c>
      <c r="IV19" s="72">
        <f t="shared" si="145"/>
        <v>-2.8947676889820011</v>
      </c>
    </row>
    <row r="20" spans="1:256" ht="15.75" thickBot="1" x14ac:dyDescent="0.3">
      <c r="A20" s="1">
        <v>19</v>
      </c>
      <c r="B20" s="1"/>
      <c r="C20" s="1" t="s">
        <v>160</v>
      </c>
      <c r="D20" s="46"/>
      <c r="E20" s="1">
        <v>169</v>
      </c>
      <c r="F20" s="1">
        <v>99.8</v>
      </c>
      <c r="G20" s="2">
        <f t="shared" ref="G20:G23" si="330">IF(C20 = "M", 65.76+(1.452*(E20-152)), 62.34+(1.247*(E20-152)))</f>
        <v>83.539000000000001</v>
      </c>
      <c r="H20" s="1">
        <v>50.3</v>
      </c>
      <c r="I20" s="63">
        <f>Z20*EXP(DATA!$B$4*Y20)</f>
        <v>62.211613146677365</v>
      </c>
      <c r="J20" s="63">
        <f>AA20*EXP(DATA!$B$5*'Inputs-new'!Y20)</f>
        <v>62.211613146677365</v>
      </c>
      <c r="K20" s="1"/>
      <c r="L20" s="48">
        <v>45467.598611111112</v>
      </c>
      <c r="M20" s="48">
        <v>45467.631944444445</v>
      </c>
      <c r="N20" s="1">
        <v>3.27</v>
      </c>
      <c r="O20" s="48">
        <v>45471.715277777781</v>
      </c>
      <c r="P20" s="1">
        <v>200</v>
      </c>
      <c r="Q20" s="1">
        <v>56585.58</v>
      </c>
      <c r="R20" s="1">
        <v>19.855</v>
      </c>
      <c r="S20" s="2">
        <f t="shared" si="239"/>
        <v>1.635E-2</v>
      </c>
      <c r="T20" s="13">
        <f>Q20*EXP((O20-M20)*24*DATA!$B$4)</f>
        <v>111371.52044479466</v>
      </c>
      <c r="U20" s="20">
        <f t="shared" si="240"/>
        <v>6811713.7886724565</v>
      </c>
      <c r="V20" s="48">
        <v>45467.672835648147</v>
      </c>
      <c r="W20" s="1">
        <v>242.1</v>
      </c>
      <c r="X20" s="1">
        <v>253823.17</v>
      </c>
      <c r="Y20" s="19">
        <f t="shared" si="241"/>
        <v>1.7813888888340443</v>
      </c>
      <c r="Z20" s="19">
        <f t="shared" si="242"/>
        <v>61.450589457</v>
      </c>
      <c r="AA20" s="17">
        <f>IF(Z20 = "", "", Z20*EXP(Y20*DATA!$B$4)*EXP(-DATA!$B$5*'Inputs-new'!Y20))</f>
        <v>61.81405816734538</v>
      </c>
      <c r="AB20" s="48">
        <v>45469.306527777779</v>
      </c>
      <c r="AC20" s="1">
        <v>96.5</v>
      </c>
      <c r="AD20" s="1">
        <v>221474.73</v>
      </c>
      <c r="AE20" s="19">
        <f t="shared" si="243"/>
        <v>40.989999999990687</v>
      </c>
      <c r="AF20" s="19">
        <f t="shared" si="244"/>
        <v>21.372311445000001</v>
      </c>
      <c r="AG20" s="17">
        <f>IF(AF20 = "", "", AF20*EXP(AE20*DATA!$B$4)*EXP(-DATA!$B$5*'Inputs-new'!AE20))</f>
        <v>24.478518530721914</v>
      </c>
      <c r="AH20" s="48">
        <v>45470.319479166668</v>
      </c>
      <c r="AI20" s="1">
        <v>52.7</v>
      </c>
      <c r="AJ20" s="1">
        <v>236700.23</v>
      </c>
      <c r="AK20" s="19">
        <f t="shared" si="245"/>
        <v>65.30083333334187</v>
      </c>
      <c r="AL20" s="19">
        <f t="shared" si="246"/>
        <v>12.474102121000001</v>
      </c>
      <c r="AM20" s="17">
        <f>IF(AL20 = "", "", AL20*EXP(AK20*DATA!$B$4)*EXP(-DATA!$B$5*'Inputs-new'!AK20))</f>
        <v>15.484457273347012</v>
      </c>
      <c r="AN20" s="48"/>
      <c r="AO20" s="1"/>
      <c r="AP20" s="1"/>
      <c r="AQ20" s="19" t="str">
        <f t="shared" si="247"/>
        <v/>
      </c>
      <c r="AR20" s="19" t="str">
        <f t="shared" si="248"/>
        <v/>
      </c>
      <c r="AS20" s="17" t="str">
        <f>IF(AR20 = "", "", AR20*EXP(AQ20*DATA!$B$4)*EXP(-DATA!$B$5*'Inputs-new'!AQ20))</f>
        <v/>
      </c>
      <c r="AT20" s="1"/>
      <c r="AU20" s="1"/>
      <c r="AV20" s="1"/>
      <c r="AW20" s="19" t="str">
        <f t="shared" si="249"/>
        <v/>
      </c>
      <c r="AX20" s="19" t="str">
        <f t="shared" si="250"/>
        <v/>
      </c>
      <c r="AY20" s="17" t="str">
        <f>IF(AX20 = "", "", AX20*EXP(AW20*DATA!$B$4)*EXP(-DATA!$B$5*'Inputs-new'!AW20))</f>
        <v/>
      </c>
      <c r="AZ20" s="80">
        <v>45467.659722222219</v>
      </c>
      <c r="BA20" s="80">
        <v>45471.72152777778</v>
      </c>
      <c r="BB20" s="1">
        <v>4204.2375000000002</v>
      </c>
      <c r="BC20" s="63">
        <f t="shared" si="251"/>
        <v>1.4666666665580124</v>
      </c>
      <c r="BD20" s="12">
        <f>IF(BB20 = "", "", BB20*EXP(DATA!$B$4*(BA20-AZ20)*24))</f>
        <v>8245.2771466655267</v>
      </c>
      <c r="BE20" s="12">
        <f>IF(BD20 = "", "", BD20*EXP(BC20*DATA!$B$4)*EXP(-BC20*DATA!$B$5))</f>
        <v>8285.4093004573606</v>
      </c>
      <c r="BF20" s="14">
        <f t="shared" si="252"/>
        <v>1.2104556066899076E-3</v>
      </c>
      <c r="BG20" s="14">
        <f t="shared" si="253"/>
        <v>1.2163472449819585E-3</v>
      </c>
      <c r="BH20" s="16">
        <v>45469.355555555558</v>
      </c>
      <c r="BI20" s="16">
        <v>45471.727777777778</v>
      </c>
      <c r="BJ20" s="1">
        <v>2196.85</v>
      </c>
      <c r="BK20" s="63">
        <f t="shared" si="254"/>
        <v>42.166666666686069</v>
      </c>
      <c r="BL20" s="12">
        <f>IF(BJ20 = "", "", BJ20*EXP(DATA!$B$4*(BI20-BH20)*24))</f>
        <v>3255.6681302478273</v>
      </c>
      <c r="BM20" s="12">
        <f>IF(BL20 = "", "", BL20*EXP(BK20*DATA!$B$4)*EXP(-BK20*DATA!$B$5))</f>
        <v>3743.3938653344012</v>
      </c>
      <c r="BN20" s="14">
        <f t="shared" si="255"/>
        <v>4.7795139831944238E-4</v>
      </c>
      <c r="BO20" s="14">
        <f t="shared" si="256"/>
        <v>5.4955243004476794E-4</v>
      </c>
      <c r="BP20" s="16">
        <v>45470.354166666664</v>
      </c>
      <c r="BQ20" s="16">
        <v>45471.734027777777</v>
      </c>
      <c r="BR20" s="1">
        <v>1841.075</v>
      </c>
      <c r="BS20" s="2">
        <f t="shared" si="257"/>
        <v>66.133333333244082</v>
      </c>
      <c r="BT20" s="12">
        <f>IF(BR20 = "", "", BR20*EXP(DATA!$B$4*(BQ20-BP20)*24))</f>
        <v>2314.4328616114176</v>
      </c>
      <c r="BU20" s="12">
        <f>IF(BT20 = "", "", BT20*EXP(BS20*DATA!$B$4)*EXP(-BS20*DATA!$B$5))</f>
        <v>2880.9001895715514</v>
      </c>
      <c r="BV20" s="14">
        <f t="shared" si="258"/>
        <v>3.3977247626877763E-4</v>
      </c>
      <c r="BW20" s="2">
        <f t="shared" si="259"/>
        <v>4.2293324102406449E-4</v>
      </c>
      <c r="BX20" s="16"/>
      <c r="BY20" s="16"/>
      <c r="BZ20" s="1"/>
      <c r="CA20" s="12" t="str">
        <f t="shared" si="260"/>
        <v/>
      </c>
      <c r="CB20" s="12" t="str">
        <f>IF(BZ20 = "", "", BZ20*EXP(DATA!$B$4*(BY20-BX20)*24))</f>
        <v/>
      </c>
      <c r="CC20" s="12" t="str">
        <f>IF(CB20 = "", "", CB20*EXP(CA20*DATA!$B$4)*EXP(-CA20*DATA!$B$5))</f>
        <v/>
      </c>
      <c r="CD20" s="14" t="e">
        <f t="shared" si="261"/>
        <v>#VALUE!</v>
      </c>
      <c r="CE20" s="60" t="e">
        <f t="shared" si="262"/>
        <v>#VALUE!</v>
      </c>
      <c r="CF20" s="16"/>
      <c r="CG20" s="16"/>
      <c r="CH20" s="1"/>
      <c r="CI20" s="12" t="str">
        <f t="shared" si="263"/>
        <v/>
      </c>
      <c r="CJ20" s="12" t="str">
        <f>IF(CH20 = "", "", CH20*EXP(DATA!$B$4*(CG20-CF20)*24))</f>
        <v/>
      </c>
      <c r="CK20" s="12" t="str">
        <f>IF(CJ20 = "", "", CJ20*EXP(CI20*DATA!$B$4)*EXP(-CI20*DATA!$B$5))</f>
        <v/>
      </c>
      <c r="CL20" s="61" t="e">
        <f t="shared" si="264"/>
        <v>#VALUE!</v>
      </c>
      <c r="CM20" s="62" t="e">
        <f t="shared" si="265"/>
        <v>#VALUE!</v>
      </c>
      <c r="CN20" s="41">
        <f t="shared" si="266"/>
        <v>61.81405816734538</v>
      </c>
      <c r="CO20" s="42">
        <f t="shared" si="267"/>
        <v>24.478518530721914</v>
      </c>
      <c r="CP20" s="42">
        <f t="shared" si="268"/>
        <v>15.484457273347012</v>
      </c>
      <c r="CQ20" s="42" t="str">
        <f t="shared" si="269"/>
        <v/>
      </c>
      <c r="CR20" s="42" t="str">
        <f t="shared" si="270"/>
        <v/>
      </c>
      <c r="CS20" s="42">
        <f t="shared" si="271"/>
        <v>1.7813888888340443</v>
      </c>
      <c r="CT20" s="42">
        <f t="shared" si="272"/>
        <v>40.989999999990687</v>
      </c>
      <c r="CU20" s="42">
        <f t="shared" si="273"/>
        <v>65.30083333334187</v>
      </c>
      <c r="CV20" s="42" t="str">
        <f t="shared" si="274"/>
        <v/>
      </c>
      <c r="CW20" s="42" t="str">
        <f t="shared" si="275"/>
        <v/>
      </c>
      <c r="CX20" s="75">
        <f t="array" ref="CX20:CY20">LOGEST(CN20:CP20,CS20:CU20,TRUE,TRUE)</f>
        <v>0.97827259571854763</v>
      </c>
      <c r="CY20" s="75">
        <v>63.133979593966515</v>
      </c>
      <c r="CZ20" s="76">
        <v>0</v>
      </c>
      <c r="DA20" s="2">
        <v>2</v>
      </c>
      <c r="DB20" s="2">
        <v>4</v>
      </c>
      <c r="DC20" s="2">
        <v>10</v>
      </c>
      <c r="DD20" s="2">
        <v>18</v>
      </c>
      <c r="DE20" s="2">
        <v>24</v>
      </c>
      <c r="DF20" s="2">
        <v>26</v>
      </c>
      <c r="DG20" s="2">
        <v>34</v>
      </c>
      <c r="DH20" s="2">
        <v>42</v>
      </c>
      <c r="DI20" s="2">
        <v>48</v>
      </c>
      <c r="DJ20" s="2">
        <v>50</v>
      </c>
      <c r="DK20" s="2">
        <v>58</v>
      </c>
      <c r="DL20" s="2">
        <v>66</v>
      </c>
      <c r="DM20" s="2">
        <v>74</v>
      </c>
      <c r="DN20" s="2">
        <f t="shared" si="276"/>
        <v>1.0148262743985512</v>
      </c>
      <c r="DO20" s="2">
        <f t="shared" si="277"/>
        <v>0.97120627220581934</v>
      </c>
      <c r="DP20" s="2">
        <f t="shared" si="278"/>
        <v>0.92946117672302808</v>
      </c>
      <c r="DQ20" s="2">
        <f t="shared" si="279"/>
        <v>0.81468661517636665</v>
      </c>
      <c r="DR20" s="2">
        <f t="shared" si="280"/>
        <v>0.6833916748087786</v>
      </c>
      <c r="DS20" s="2">
        <f t="shared" si="281"/>
        <v>0.59900301845052639</v>
      </c>
      <c r="DT20" s="2">
        <f t="shared" si="282"/>
        <v>0.57325623435809614</v>
      </c>
      <c r="DU20" s="2">
        <f t="shared" si="283"/>
        <v>0.4808702276368485</v>
      </c>
      <c r="DV20" s="2">
        <f t="shared" si="284"/>
        <v>0.4033731549146452</v>
      </c>
      <c r="DW20" s="2">
        <f t="shared" si="285"/>
        <v>0.35356259998834932</v>
      </c>
      <c r="DX20" s="2">
        <f t="shared" si="286"/>
        <v>0.33836551475728349</v>
      </c>
      <c r="DY20" s="2">
        <f t="shared" si="287"/>
        <v>0.28383450951560746</v>
      </c>
      <c r="DZ20" s="2">
        <f t="shared" si="288"/>
        <v>0.23809172412192844</v>
      </c>
      <c r="EA20" s="73">
        <f t="shared" si="289"/>
        <v>0.19972084857509317</v>
      </c>
      <c r="EB20" s="75">
        <f t="array" ref="EB20:EC20">LOGEST(DN20:EA20,CZ20:DM20,TRUE,TRUE)</f>
        <v>0.97827259571854763</v>
      </c>
      <c r="EC20" s="75">
        <v>1.0148262743985508</v>
      </c>
      <c r="ED20" s="2">
        <f t="shared" si="290"/>
        <v>2.1966920056100226E-2</v>
      </c>
      <c r="EE20" s="2">
        <f t="shared" si="291"/>
        <v>31.554135891137726</v>
      </c>
      <c r="EF20" s="17">
        <f t="shared" si="292"/>
        <v>46.1979317904757</v>
      </c>
      <c r="EG20" s="2">
        <f t="shared" si="293"/>
        <v>1.2163472449819585E-3</v>
      </c>
      <c r="EH20" s="2">
        <f t="shared" si="294"/>
        <v>5.4955243004476794E-4</v>
      </c>
      <c r="EI20" s="2">
        <f t="shared" si="295"/>
        <v>4.2293324102406449E-4</v>
      </c>
      <c r="EJ20" s="2" t="e">
        <f t="shared" si="296"/>
        <v>#VALUE!</v>
      </c>
      <c r="EK20" s="2" t="e">
        <f t="shared" si="297"/>
        <v>#VALUE!</v>
      </c>
      <c r="EL20" s="12">
        <f t="shared" si="298"/>
        <v>1.4666666665580124</v>
      </c>
      <c r="EM20" s="12">
        <f t="shared" si="299"/>
        <v>42.166666666686069</v>
      </c>
      <c r="EN20" s="12">
        <f t="shared" si="300"/>
        <v>66.133333333244082</v>
      </c>
      <c r="EO20" s="12" t="str">
        <f t="shared" si="301"/>
        <v/>
      </c>
      <c r="EP20" s="12" t="str">
        <f t="shared" si="302"/>
        <v/>
      </c>
      <c r="EQ20" s="35">
        <f t="array" ref="EQ20:ER20">LOGEST(EG20:EI20, EL20:EN20, TRUE, TRUE)</f>
        <v>0.98346401114751625</v>
      </c>
      <c r="ER20" s="35">
        <v>1.2080149438952114E-3</v>
      </c>
      <c r="ES20" s="53">
        <v>0</v>
      </c>
      <c r="ET20" s="53">
        <v>2</v>
      </c>
      <c r="EU20" s="53">
        <v>4</v>
      </c>
      <c r="EV20" s="53">
        <v>10</v>
      </c>
      <c r="EW20" s="53">
        <v>18</v>
      </c>
      <c r="EX20" s="53">
        <v>24</v>
      </c>
      <c r="EY20" s="53">
        <v>26</v>
      </c>
      <c r="EZ20" s="53">
        <v>34</v>
      </c>
      <c r="FA20" s="53">
        <v>42</v>
      </c>
      <c r="FB20" s="53">
        <v>48</v>
      </c>
      <c r="FC20" s="53">
        <v>50</v>
      </c>
      <c r="FD20" s="53">
        <v>58</v>
      </c>
      <c r="FE20" s="53">
        <v>66</v>
      </c>
      <c r="FF20" s="53">
        <v>72</v>
      </c>
      <c r="FG20" s="53">
        <v>78</v>
      </c>
      <c r="FH20" s="53">
        <v>84</v>
      </c>
      <c r="FI20" s="53">
        <v>90</v>
      </c>
      <c r="FJ20" s="53">
        <v>96</v>
      </c>
      <c r="FK20" s="54">
        <f t="shared" si="303"/>
        <v>1.941783668343488E-5</v>
      </c>
      <c r="FL20" s="54">
        <f t="shared" si="304"/>
        <v>1.8780960013995399E-5</v>
      </c>
      <c r="FM20" s="54">
        <f t="shared" si="305"/>
        <v>1.8164971968695102E-5</v>
      </c>
      <c r="FN20" s="54">
        <f t="shared" si="306"/>
        <v>1.6435600031206678E-5</v>
      </c>
      <c r="FO20" s="54">
        <f t="shared" si="307"/>
        <v>1.43831278158573E-5</v>
      </c>
      <c r="FP20" s="54">
        <f t="shared" si="308"/>
        <v>1.3013801308724815E-5</v>
      </c>
      <c r="FQ20" s="54">
        <f t="shared" si="309"/>
        <v>1.2586967641856127E-5</v>
      </c>
      <c r="FR20" s="54">
        <f t="shared" si="310"/>
        <v>1.101511134750977E-5</v>
      </c>
      <c r="FS20" s="54">
        <f t="shared" si="311"/>
        <v>9.6395479396136992E-6</v>
      </c>
      <c r="FT20" s="54">
        <f t="shared" si="312"/>
        <v>8.7218276301317235E-6</v>
      </c>
      <c r="FU20" s="54">
        <f t="shared" si="313"/>
        <v>8.4357644283929741E-6</v>
      </c>
      <c r="FV20" s="54">
        <f t="shared" si="314"/>
        <v>7.3823089980080564E-6</v>
      </c>
      <c r="FW20" s="54">
        <f t="shared" si="315"/>
        <v>6.4604087281812298E-6</v>
      </c>
      <c r="FX20" s="54">
        <f t="shared" si="316"/>
        <v>5.8453541286764181E-6</v>
      </c>
      <c r="FY20" s="54">
        <f t="shared" si="317"/>
        <v>5.2888549822843268E-6</v>
      </c>
      <c r="FZ20" s="54">
        <f t="shared" si="318"/>
        <v>4.7853365951615203E-6</v>
      </c>
      <c r="GA20" s="54">
        <f t="shared" si="319"/>
        <v>4.3297550047593619E-6</v>
      </c>
      <c r="GB20" s="77">
        <f t="shared" si="320"/>
        <v>3.9175464522587005E-6</v>
      </c>
      <c r="GC20" s="75">
        <f t="array" ref="GC20:GD20">LOGEST(FK20:GB20, ES20:FJ20, TRUE, TRUE)</f>
        <v>0.98346401114751625</v>
      </c>
      <c r="GD20" s="75">
        <v>1.9417836683434914E-5</v>
      </c>
      <c r="GE20" s="2">
        <f t="shared" si="321"/>
        <v>1.6674234453443442E-2</v>
      </c>
      <c r="GF20" s="2">
        <f t="shared" si="322"/>
        <v>41.569955280123914</v>
      </c>
      <c r="GG20" s="2">
        <f>(GF20*DATA!$B$3)/(DATA!$B$3+GF20)</f>
        <v>34.190589473060875</v>
      </c>
      <c r="GH20" s="17">
        <f t="shared" si="323"/>
        <v>9.5781574407031512E-4</v>
      </c>
      <c r="GI20" s="96">
        <f>DATA!$B$6/DW20</f>
        <v>8.3719262164537156</v>
      </c>
      <c r="GJ20" s="96"/>
      <c r="GK20" s="2">
        <f t="shared" si="324"/>
        <v>9.8378078198358711E-4</v>
      </c>
      <c r="GL20" s="2">
        <f>GK20*EF20 + GH20*DATA!$B$8</f>
        <v>0.14889273782245263</v>
      </c>
      <c r="GM20" s="96">
        <f>DATA!$B$7/GL20</f>
        <v>13.432488577011076</v>
      </c>
      <c r="GN20" s="96"/>
      <c r="GO20" s="93">
        <f t="shared" si="325"/>
        <v>8.3719262164537156</v>
      </c>
      <c r="GP20" s="51">
        <f t="shared" si="326"/>
        <v>226</v>
      </c>
      <c r="GQ20" s="93">
        <f t="shared" si="327"/>
        <v>13.432488577011076</v>
      </c>
      <c r="GR20" s="51">
        <f t="shared" si="328"/>
        <v>363</v>
      </c>
      <c r="GS20" s="1"/>
      <c r="GT20" s="1"/>
      <c r="GU20" s="1"/>
      <c r="GV20" s="57">
        <f t="shared" si="329"/>
        <v>45467.672835648147</v>
      </c>
      <c r="GW20" s="2">
        <f t="shared" si="236"/>
        <v>1.7813888888340443</v>
      </c>
      <c r="GX20" s="1"/>
      <c r="GY20" s="2" t="str">
        <f t="shared" ref="GY20:GY29" si="331">IF(GX20 = "", "", 0.001 * 4/3 *3.14159265*(GX20/2)^3)</f>
        <v/>
      </c>
      <c r="GZ20" s="2" t="str">
        <f t="shared" ref="GZ20:GZ29" si="332">IF(GS20="","",((GS20-GU20)*GT20/GY20))</f>
        <v/>
      </c>
      <c r="HA20" s="1"/>
      <c r="HB20" s="1"/>
      <c r="HC20" s="1"/>
      <c r="HD20" s="57">
        <f t="shared" si="237"/>
        <v>45469.306527777779</v>
      </c>
      <c r="HE20" s="2">
        <f t="shared" si="238"/>
        <v>40.989999999990687</v>
      </c>
      <c r="HF20" s="1"/>
      <c r="HG20" s="1"/>
      <c r="HH20" s="1"/>
      <c r="HI20" s="57">
        <f t="shared" si="107"/>
        <v>45470.319479166668</v>
      </c>
      <c r="HJ20" s="2">
        <f t="shared" si="108"/>
        <v>65.30083333334187</v>
      </c>
      <c r="HK20" s="1"/>
      <c r="HL20" s="1"/>
      <c r="HM20" s="1"/>
      <c r="HN20" s="57">
        <f t="shared" si="122"/>
        <v>0</v>
      </c>
      <c r="HO20" s="2" t="str">
        <f t="shared" si="123"/>
        <v/>
      </c>
      <c r="HP20" s="1"/>
      <c r="HQ20" s="1"/>
      <c r="HR20" s="1"/>
      <c r="HS20" s="57">
        <f t="shared" si="124"/>
        <v>0</v>
      </c>
      <c r="HT20" s="2" t="str">
        <f t="shared" si="125"/>
        <v/>
      </c>
      <c r="HU20" s="72">
        <f t="shared" si="126"/>
        <v>1.7813888888340443</v>
      </c>
      <c r="HV20" s="72">
        <f t="shared" si="127"/>
        <v>40.989999999990687</v>
      </c>
      <c r="HW20" s="72">
        <f t="shared" si="128"/>
        <v>65.30083333334187</v>
      </c>
      <c r="HX20" s="72" t="str">
        <f t="shared" si="129"/>
        <v/>
      </c>
      <c r="HY20" s="72" t="str">
        <f t="shared" si="130"/>
        <v/>
      </c>
      <c r="HZ20" s="2" t="e">
        <f t="shared" si="131"/>
        <v>#VALUE!</v>
      </c>
      <c r="IA20" s="2" t="e">
        <f t="shared" si="132"/>
        <v>#VALUE!</v>
      </c>
      <c r="IB20" s="2" t="e">
        <f t="shared" si="133"/>
        <v>#VALUE!</v>
      </c>
      <c r="IC20" s="2" t="e">
        <f t="shared" si="134"/>
        <v>#VALUE!</v>
      </c>
      <c r="ID20" s="2" t="e">
        <f t="shared" si="135"/>
        <v>#VALUE!</v>
      </c>
      <c r="IE20" s="14" t="e">
        <f>HZ20*EXP(DATA!$B$4*'Inputs-new'!HU20)</f>
        <v>#VALUE!</v>
      </c>
      <c r="IF20" s="14" t="e">
        <f>IA20*EXP(DATA!$B$4*'Inputs-new'!HV20)</f>
        <v>#VALUE!</v>
      </c>
      <c r="IG20" s="14" t="e">
        <f>IB20*EXP(DATA!$B$4*'Inputs-new'!HW20)</f>
        <v>#VALUE!</v>
      </c>
      <c r="IH20" s="14" t="e">
        <f>IC20*EXP(DATA!$B$4*'Inputs-new'!HX20)</f>
        <v>#VALUE!</v>
      </c>
      <c r="II20" s="14" t="e">
        <f>ID20*EXP(DATA!$B$4*'Inputs-new'!HY20)</f>
        <v>#VALUE!</v>
      </c>
      <c r="IJ20" s="2" t="e">
        <f t="array" ref="IJ20:IK20">LOGEST(IF20:IH20, HV20:HX20, TRUE, FALSE)</f>
        <v>#VALUE!</v>
      </c>
      <c r="IK20" s="2" t="e">
        <v>#VALUE!</v>
      </c>
      <c r="IL20" s="2" t="e">
        <f t="shared" si="136"/>
        <v>#VALUE!</v>
      </c>
      <c r="IM20" s="2" t="e">
        <f t="shared" si="137"/>
        <v>#VALUE!</v>
      </c>
      <c r="IN20" s="2" t="e">
        <f>(IM20*DATA!$B$3)/(DATA!$B$3+'Inputs-new'!IM20)</f>
        <v>#VALUE!</v>
      </c>
      <c r="IO20" s="2" t="e">
        <f t="shared" si="138"/>
        <v>#VALUE!</v>
      </c>
      <c r="IP20" s="2" t="e">
        <f t="shared" si="139"/>
        <v>#VALUE!</v>
      </c>
      <c r="IQ20" s="2" t="e">
        <f t="shared" si="140"/>
        <v>#VALUE!</v>
      </c>
      <c r="IR20" s="2" t="e">
        <f t="shared" si="141"/>
        <v>#VALUE!</v>
      </c>
      <c r="IS20" s="2" t="e">
        <f t="shared" si="142"/>
        <v>#VALUE!</v>
      </c>
      <c r="IT20" s="63" t="e">
        <f t="shared" si="143"/>
        <v>#VALUE!</v>
      </c>
      <c r="IU20" s="2" t="e">
        <f t="shared" si="144"/>
        <v>#VALUE!</v>
      </c>
      <c r="IV20" s="72" t="e">
        <f t="shared" si="145"/>
        <v>#VALUE!</v>
      </c>
    </row>
    <row r="21" spans="1:256" ht="15.75" thickBot="1" x14ac:dyDescent="0.3">
      <c r="A21" s="1">
        <v>20</v>
      </c>
      <c r="B21" s="1"/>
      <c r="C21" s="1" t="s">
        <v>159</v>
      </c>
      <c r="D21" s="46"/>
      <c r="E21" s="1">
        <v>177</v>
      </c>
      <c r="F21" s="1">
        <v>86</v>
      </c>
      <c r="G21" s="2">
        <f t="shared" si="330"/>
        <v>102.06</v>
      </c>
      <c r="H21" s="1">
        <v>52.5</v>
      </c>
      <c r="I21" s="63">
        <f>Z21*EXP(DATA!$B$4*Y21)</f>
        <v>57.991918927796064</v>
      </c>
      <c r="J21" s="63">
        <f>AA21*EXP(DATA!$B$5*'Inputs-new'!Y21)</f>
        <v>57.991918927796057</v>
      </c>
      <c r="K21" s="1"/>
      <c r="L21" s="48">
        <v>45467.604166666664</v>
      </c>
      <c r="M21" s="48">
        <v>45467.631944444445</v>
      </c>
      <c r="N21" s="1">
        <v>3.27</v>
      </c>
      <c r="O21" s="48">
        <v>45471.715277777781</v>
      </c>
      <c r="P21" s="1">
        <v>200</v>
      </c>
      <c r="Q21" s="1">
        <v>56051.027499999997</v>
      </c>
      <c r="R21" s="1">
        <v>14.56</v>
      </c>
      <c r="S21" s="2">
        <f t="shared" si="239"/>
        <v>1.635E-2</v>
      </c>
      <c r="T21" s="13">
        <f>Q21*EXP((O21-M21)*24*DATA!$B$4)</f>
        <v>110319.41627474697</v>
      </c>
      <c r="U21" s="20">
        <f t="shared" si="240"/>
        <v>6747364.9097704571</v>
      </c>
      <c r="V21" s="48">
        <v>45467.714039351849</v>
      </c>
      <c r="W21" s="1">
        <v>228.5</v>
      </c>
      <c r="X21" s="1">
        <v>249211.8</v>
      </c>
      <c r="Y21" s="19">
        <f t="shared" si="241"/>
        <v>2.6369444444426335</v>
      </c>
      <c r="Z21" s="19">
        <f t="shared" si="242"/>
        <v>56.944896299999996</v>
      </c>
      <c r="AA21" s="17">
        <f>IF(Z21 = "", "", Z21*EXP(Y21*DATA!$B$4)*EXP(-DATA!$B$5*'Inputs-new'!Y21))</f>
        <v>57.444187387907967</v>
      </c>
      <c r="AB21" s="48">
        <v>45469.345937500002</v>
      </c>
      <c r="AC21" s="1">
        <v>51</v>
      </c>
      <c r="AD21" s="1">
        <v>239076.85</v>
      </c>
      <c r="AE21" s="19">
        <f t="shared" si="243"/>
        <v>41.802500000107102</v>
      </c>
      <c r="AF21" s="19">
        <f t="shared" si="244"/>
        <v>12.19291935</v>
      </c>
      <c r="AG21" s="17">
        <f>IF(AF21 = "", "", AF21*EXP(AE21*DATA!$B$4)*EXP(-DATA!$B$5*'Inputs-new'!AE21))</f>
        <v>14.002626805697226</v>
      </c>
      <c r="AH21" s="48"/>
      <c r="AI21" s="1"/>
      <c r="AJ21" s="1"/>
      <c r="AK21" s="19" t="str">
        <f t="shared" si="245"/>
        <v/>
      </c>
      <c r="AL21" s="19" t="str">
        <f t="shared" si="246"/>
        <v/>
      </c>
      <c r="AM21" s="17" t="str">
        <f>IF(AL21 = "", "", AL21*EXP(AK21*DATA!$B$4)*EXP(-DATA!$B$5*'Inputs-new'!AK21))</f>
        <v/>
      </c>
      <c r="AN21" s="48"/>
      <c r="AO21" s="1"/>
      <c r="AP21" s="1"/>
      <c r="AQ21" s="19" t="str">
        <f t="shared" si="247"/>
        <v/>
      </c>
      <c r="AR21" s="19" t="str">
        <f t="shared" si="248"/>
        <v/>
      </c>
      <c r="AS21" s="17" t="str">
        <f>IF(AR21 = "", "", AR21*EXP(AQ21*DATA!$B$4)*EXP(-DATA!$B$5*'Inputs-new'!AQ21))</f>
        <v/>
      </c>
      <c r="AT21" s="1"/>
      <c r="AU21" s="1"/>
      <c r="AV21" s="1"/>
      <c r="AW21" s="19" t="str">
        <f t="shared" si="249"/>
        <v/>
      </c>
      <c r="AX21" s="19" t="str">
        <f t="shared" si="250"/>
        <v/>
      </c>
      <c r="AY21" s="17" t="str">
        <f>IF(AX21 = "", "", AX21*EXP(AW21*DATA!$B$4)*EXP(-DATA!$B$5*'Inputs-new'!AW21))</f>
        <v/>
      </c>
      <c r="AZ21" s="80">
        <v>45467.688194444447</v>
      </c>
      <c r="BA21" s="80">
        <v>45471.750694444447</v>
      </c>
      <c r="BB21" s="1">
        <v>5459.5924999999997</v>
      </c>
      <c r="BC21" s="63">
        <f t="shared" si="251"/>
        <v>2.0166666667792015</v>
      </c>
      <c r="BD21" s="12">
        <f>IF(BB21 = "", "", BB21*EXP(DATA!$B$4*(BA21-AZ21)*24))</f>
        <v>10708.490520764259</v>
      </c>
      <c r="BE21" s="12">
        <f>IF(BD21 = "", "", BD21*EXP(BC21*DATA!$B$4)*EXP(-BC21*DATA!$B$5))</f>
        <v>10780.222683908702</v>
      </c>
      <c r="BF21" s="14">
        <f t="shared" si="252"/>
        <v>1.5870626035443753E-3</v>
      </c>
      <c r="BG21" s="14">
        <f t="shared" si="253"/>
        <v>1.5976937409000222E-3</v>
      </c>
      <c r="BH21" s="16">
        <v>45469.331944444442</v>
      </c>
      <c r="BI21" s="16">
        <v>45471.756944444445</v>
      </c>
      <c r="BJ21" s="1">
        <v>1616.1025</v>
      </c>
      <c r="BK21" s="63">
        <f t="shared" si="254"/>
        <v>41.466666666674428</v>
      </c>
      <c r="BL21" s="12">
        <f>IF(BJ21 = "", "", BJ21*EXP(DATA!$B$4*(BI21-BH21)*24))</f>
        <v>2416.0699823103096</v>
      </c>
      <c r="BM21" s="12">
        <f>IF(BL21 = "", "", BL21*EXP(BK21*DATA!$B$4)*EXP(-BK21*DATA!$B$5))</f>
        <v>2771.5867482550912</v>
      </c>
      <c r="BN21" s="14">
        <f t="shared" si="255"/>
        <v>3.5807608075439095E-4</v>
      </c>
      <c r="BO21" s="14">
        <f t="shared" si="256"/>
        <v>4.1076580047445208E-4</v>
      </c>
      <c r="BP21" s="16"/>
      <c r="BQ21" s="16"/>
      <c r="BR21" s="1"/>
      <c r="BS21" s="2" t="str">
        <f t="shared" si="257"/>
        <v/>
      </c>
      <c r="BT21" s="12" t="str">
        <f>IF(BR21 = "", "", BR21*EXP(DATA!$B$4*(BQ21-BP21)*24))</f>
        <v/>
      </c>
      <c r="BU21" s="12" t="str">
        <f>IF(BT21 = "", "", BT21*EXP(BS21*DATA!$B$4)*EXP(-BS21*DATA!$B$5))</f>
        <v/>
      </c>
      <c r="BV21" s="14" t="e">
        <f t="shared" si="258"/>
        <v>#VALUE!</v>
      </c>
      <c r="BW21" s="2" t="e">
        <f t="shared" si="259"/>
        <v>#VALUE!</v>
      </c>
      <c r="BX21" s="16"/>
      <c r="BY21" s="16"/>
      <c r="BZ21" s="1"/>
      <c r="CA21" s="12" t="str">
        <f t="shared" si="260"/>
        <v/>
      </c>
      <c r="CB21" s="12" t="str">
        <f>IF(BZ21 = "", "", BZ21*EXP(DATA!$B$4*(BY21-BX21)*24))</f>
        <v/>
      </c>
      <c r="CC21" s="12" t="str">
        <f>IF(CB21 = "", "", CB21*EXP(CA21*DATA!$B$4)*EXP(-CA21*DATA!$B$5))</f>
        <v/>
      </c>
      <c r="CD21" s="14" t="e">
        <f t="shared" si="261"/>
        <v>#VALUE!</v>
      </c>
      <c r="CE21" s="60" t="e">
        <f t="shared" si="262"/>
        <v>#VALUE!</v>
      </c>
      <c r="CF21" s="16"/>
      <c r="CG21" s="16"/>
      <c r="CH21" s="1"/>
      <c r="CI21" s="12" t="str">
        <f t="shared" si="263"/>
        <v/>
      </c>
      <c r="CJ21" s="12" t="str">
        <f>IF(CH21 = "", "", CH21*EXP(DATA!$B$4*(CG21-CF21)*24))</f>
        <v/>
      </c>
      <c r="CK21" s="12" t="str">
        <f>IF(CJ21 = "", "", CJ21*EXP(CI21*DATA!$B$4)*EXP(-CI21*DATA!$B$5))</f>
        <v/>
      </c>
      <c r="CL21" s="61" t="e">
        <f t="shared" si="264"/>
        <v>#VALUE!</v>
      </c>
      <c r="CM21" s="62" t="e">
        <f t="shared" si="265"/>
        <v>#VALUE!</v>
      </c>
      <c r="CN21" s="41">
        <f t="shared" si="266"/>
        <v>57.444187387907967</v>
      </c>
      <c r="CO21" s="42">
        <f t="shared" si="267"/>
        <v>14.002626805697226</v>
      </c>
      <c r="CP21" s="42" t="str">
        <f t="shared" si="268"/>
        <v/>
      </c>
      <c r="CQ21" s="42" t="str">
        <f t="shared" si="269"/>
        <v/>
      </c>
      <c r="CR21" s="42" t="str">
        <f t="shared" si="270"/>
        <v/>
      </c>
      <c r="CS21" s="42">
        <f t="shared" si="271"/>
        <v>2.6369444444426335</v>
      </c>
      <c r="CT21" s="42">
        <f t="shared" si="272"/>
        <v>41.802500000107102</v>
      </c>
      <c r="CU21" s="42" t="str">
        <f t="shared" si="273"/>
        <v/>
      </c>
      <c r="CV21" s="42" t="str">
        <f t="shared" si="274"/>
        <v/>
      </c>
      <c r="CW21" s="42" t="str">
        <f t="shared" si="275"/>
        <v/>
      </c>
      <c r="CX21" s="75">
        <f t="array" ref="CX21:CY21">LOGEST(CN21:CO21,CS21:CT21,TRUE,TRUE)</f>
        <v>0.96460066785229215</v>
      </c>
      <c r="CY21" s="75">
        <v>63.171430209145171</v>
      </c>
      <c r="CZ21" s="76">
        <v>0</v>
      </c>
      <c r="DA21" s="2">
        <v>2</v>
      </c>
      <c r="DB21" s="2">
        <v>4</v>
      </c>
      <c r="DC21" s="2">
        <v>10</v>
      </c>
      <c r="DD21" s="2">
        <v>18</v>
      </c>
      <c r="DE21" s="2">
        <v>24</v>
      </c>
      <c r="DF21" s="2">
        <v>26</v>
      </c>
      <c r="DG21" s="2">
        <v>34</v>
      </c>
      <c r="DH21" s="2">
        <v>42</v>
      </c>
      <c r="DI21" s="2">
        <v>48</v>
      </c>
      <c r="DJ21" s="2">
        <v>50</v>
      </c>
      <c r="DK21" s="2">
        <v>58</v>
      </c>
      <c r="DL21" s="2">
        <v>66</v>
      </c>
      <c r="DM21" s="2">
        <v>74</v>
      </c>
      <c r="DN21" s="2">
        <f t="shared" si="276"/>
        <v>1.0893143627097073</v>
      </c>
      <c r="DO21" s="2">
        <f t="shared" si="277"/>
        <v>1.0135573945122296</v>
      </c>
      <c r="DP21" s="2">
        <f t="shared" si="278"/>
        <v>0.94306898645399184</v>
      </c>
      <c r="DQ21" s="2">
        <f t="shared" si="279"/>
        <v>0.75967671091916034</v>
      </c>
      <c r="DR21" s="2">
        <f t="shared" si="280"/>
        <v>0.5693892701465465</v>
      </c>
      <c r="DS21" s="2">
        <f t="shared" si="281"/>
        <v>0.45866397282770999</v>
      </c>
      <c r="DT21" s="2">
        <f t="shared" si="282"/>
        <v>0.4267659338480318</v>
      </c>
      <c r="DU21" s="2">
        <f t="shared" si="283"/>
        <v>0.31986757011825534</v>
      </c>
      <c r="DV21" s="2">
        <f t="shared" si="284"/>
        <v>0.23974561767573208</v>
      </c>
      <c r="DW21" s="2">
        <f t="shared" si="285"/>
        <v>0.19312390176035965</v>
      </c>
      <c r="DX21" s="2">
        <f t="shared" si="286"/>
        <v>0.17969299348936382</v>
      </c>
      <c r="DY21" s="2">
        <f t="shared" si="287"/>
        <v>0.13468263663047145</v>
      </c>
      <c r="DZ21" s="2">
        <f t="shared" si="288"/>
        <v>0.1009466883348977</v>
      </c>
      <c r="EA21" s="73">
        <f t="shared" si="289"/>
        <v>7.5661081047454545E-2</v>
      </c>
      <c r="EB21" s="75">
        <f t="array" ref="EB21:EC21">LOGEST(DN21:EA21,CZ21:DM21,TRUE,TRUE)</f>
        <v>0.96460066785229215</v>
      </c>
      <c r="EC21" s="75">
        <v>1.0893143627097068</v>
      </c>
      <c r="ED21" s="2">
        <f t="shared" si="290"/>
        <v>3.6041078985601709E-2</v>
      </c>
      <c r="EE21" s="2">
        <f t="shared" si="291"/>
        <v>19.232142878875944</v>
      </c>
      <c r="EF21" s="17">
        <f t="shared" si="292"/>
        <v>30.224243928570626</v>
      </c>
      <c r="EG21" s="2">
        <f t="shared" si="293"/>
        <v>1.5976937409000222E-3</v>
      </c>
      <c r="EH21" s="2">
        <f t="shared" si="294"/>
        <v>4.1076580047445208E-4</v>
      </c>
      <c r="EI21" s="2" t="e">
        <f t="shared" si="295"/>
        <v>#VALUE!</v>
      </c>
      <c r="EJ21" s="2" t="e">
        <f t="shared" si="296"/>
        <v>#VALUE!</v>
      </c>
      <c r="EK21" s="2" t="e">
        <f t="shared" si="297"/>
        <v>#VALUE!</v>
      </c>
      <c r="EL21" s="12">
        <f t="shared" si="298"/>
        <v>2.0166666667792015</v>
      </c>
      <c r="EM21" s="12">
        <f t="shared" si="299"/>
        <v>41.466666666674428</v>
      </c>
      <c r="EN21" s="12" t="str">
        <f t="shared" si="300"/>
        <v/>
      </c>
      <c r="EO21" s="12" t="str">
        <f t="shared" si="301"/>
        <v/>
      </c>
      <c r="EP21" s="12" t="str">
        <f t="shared" si="302"/>
        <v/>
      </c>
      <c r="EQ21" s="35">
        <f t="array" ref="EQ21:ER21">LOGEST(EG21:EH21, EL21:EM21, TRUE, TRUE)</f>
        <v>0.96615524005941544</v>
      </c>
      <c r="ER21" s="35">
        <v>1.7125723368270707E-3</v>
      </c>
      <c r="ES21" s="53">
        <v>0</v>
      </c>
      <c r="ET21" s="53">
        <v>2</v>
      </c>
      <c r="EU21" s="53">
        <v>4</v>
      </c>
      <c r="EV21" s="53">
        <v>10</v>
      </c>
      <c r="EW21" s="53">
        <v>18</v>
      </c>
      <c r="EX21" s="53">
        <v>24</v>
      </c>
      <c r="EY21" s="53">
        <v>26</v>
      </c>
      <c r="EZ21" s="53">
        <v>34</v>
      </c>
      <c r="FA21" s="53">
        <v>42</v>
      </c>
      <c r="FB21" s="53">
        <v>48</v>
      </c>
      <c r="FC21" s="53">
        <v>50</v>
      </c>
      <c r="FD21" s="53">
        <v>58</v>
      </c>
      <c r="FE21" s="53">
        <v>66</v>
      </c>
      <c r="FF21" s="53">
        <v>72</v>
      </c>
      <c r="FG21" s="53">
        <v>78</v>
      </c>
      <c r="FH21" s="53">
        <v>84</v>
      </c>
      <c r="FI21" s="53">
        <v>90</v>
      </c>
      <c r="FJ21" s="53">
        <v>96</v>
      </c>
      <c r="FK21" s="54">
        <f t="shared" si="303"/>
        <v>2.9531223806533137E-5</v>
      </c>
      <c r="FL21" s="54">
        <f t="shared" si="304"/>
        <v>2.7566096510805122E-5</v>
      </c>
      <c r="FM21" s="54">
        <f t="shared" si="305"/>
        <v>2.5731736748238431E-5</v>
      </c>
      <c r="FN21" s="54">
        <f t="shared" si="306"/>
        <v>2.0929101377235652E-5</v>
      </c>
      <c r="FO21" s="54">
        <f t="shared" si="307"/>
        <v>1.5890072948373855E-5</v>
      </c>
      <c r="FP21" s="54">
        <f t="shared" si="308"/>
        <v>1.2924310196471806E-5</v>
      </c>
      <c r="FQ21" s="54">
        <f t="shared" si="309"/>
        <v>1.2064274225327126E-5</v>
      </c>
      <c r="FR21" s="54">
        <f t="shared" si="310"/>
        <v>9.1596000255484834E-6</v>
      </c>
      <c r="FS21" s="54">
        <f t="shared" si="311"/>
        <v>6.954274336030592E-6</v>
      </c>
      <c r="FT21" s="54">
        <f t="shared" si="312"/>
        <v>5.656311270705675E-6</v>
      </c>
      <c r="FU21" s="54">
        <f t="shared" si="313"/>
        <v>5.2799173987815902E-6</v>
      </c>
      <c r="FV21" s="54">
        <f t="shared" si="314"/>
        <v>4.0086896764369907E-6</v>
      </c>
      <c r="FW21" s="54">
        <f t="shared" si="315"/>
        <v>3.0435311214680707E-6</v>
      </c>
      <c r="FX21" s="54">
        <f t="shared" si="316"/>
        <v>2.4754789002082303E-6</v>
      </c>
      <c r="FY21" s="54">
        <f t="shared" si="317"/>
        <v>2.0134493589210494E-6</v>
      </c>
      <c r="FZ21" s="54">
        <f t="shared" si="318"/>
        <v>1.6376541608165497E-6</v>
      </c>
      <c r="GA21" s="54">
        <f t="shared" si="319"/>
        <v>1.3319983135195004E-6</v>
      </c>
      <c r="GB21" s="77">
        <f t="shared" si="320"/>
        <v>1.0833908340782714E-6</v>
      </c>
      <c r="GC21" s="75">
        <f t="array" ref="GC21:GD21">LOGEST(FK21:GB21, ES21:FJ21, TRUE, TRUE)</f>
        <v>0.96615524005941544</v>
      </c>
      <c r="GD21" s="75">
        <v>2.9531223806533174E-5</v>
      </c>
      <c r="GE21" s="2">
        <f t="shared" si="321"/>
        <v>3.4430753685868766E-2</v>
      </c>
      <c r="GF21" s="2">
        <f t="shared" si="322"/>
        <v>20.131629614731033</v>
      </c>
      <c r="GG21" s="2">
        <f>(GF21*DATA!$B$3)/(DATA!$B$3+GF21)</f>
        <v>18.22653742305193</v>
      </c>
      <c r="GH21" s="17">
        <f t="shared" si="323"/>
        <v>7.7653342746555323E-4</v>
      </c>
      <c r="GI21" s="96">
        <f>DATA!$B$6/DW21</f>
        <v>15.32694800083811</v>
      </c>
      <c r="GJ21" s="96"/>
      <c r="GK21" s="2">
        <f t="shared" si="324"/>
        <v>9.6492201504548342E-4</v>
      </c>
      <c r="GL21" s="2">
        <f>GK21*EF21 + GH21*DATA!$B$8</f>
        <v>0.11302964852106233</v>
      </c>
      <c r="GM21" s="96">
        <f>DATA!$B$7/GL21</f>
        <v>17.694472434171228</v>
      </c>
      <c r="GN21" s="96"/>
      <c r="GO21" s="93">
        <f t="shared" si="325"/>
        <v>15.32694800083811</v>
      </c>
      <c r="GP21" s="51">
        <f t="shared" si="326"/>
        <v>414</v>
      </c>
      <c r="GQ21" s="93">
        <f t="shared" si="327"/>
        <v>17.694472434171228</v>
      </c>
      <c r="GR21" s="51">
        <f t="shared" si="328"/>
        <v>478</v>
      </c>
      <c r="GS21" s="1"/>
      <c r="GT21" s="1"/>
      <c r="GU21" s="1"/>
      <c r="GV21" s="57">
        <f t="shared" si="329"/>
        <v>45467.714039351849</v>
      </c>
      <c r="GW21" s="2">
        <f t="shared" si="236"/>
        <v>2.6369444444426335</v>
      </c>
      <c r="GX21" s="1"/>
      <c r="GY21" s="2" t="str">
        <f t="shared" si="331"/>
        <v/>
      </c>
      <c r="GZ21" s="2" t="str">
        <f t="shared" si="332"/>
        <v/>
      </c>
      <c r="HA21" s="1"/>
      <c r="HB21" s="1"/>
      <c r="HC21" s="1"/>
      <c r="HD21" s="57">
        <f t="shared" si="237"/>
        <v>45469.345937500002</v>
      </c>
      <c r="HE21" s="2">
        <f t="shared" si="238"/>
        <v>41.802500000107102</v>
      </c>
      <c r="HF21" s="1"/>
      <c r="HG21" s="1"/>
      <c r="HH21" s="1"/>
      <c r="HI21" s="57">
        <f t="shared" si="107"/>
        <v>0</v>
      </c>
      <c r="HJ21" s="2" t="str">
        <f t="shared" si="108"/>
        <v/>
      </c>
      <c r="HK21" s="1"/>
      <c r="HL21" s="1"/>
      <c r="HM21" s="1"/>
      <c r="HN21" s="57">
        <f t="shared" si="122"/>
        <v>0</v>
      </c>
      <c r="HO21" s="2" t="str">
        <f t="shared" si="123"/>
        <v/>
      </c>
      <c r="HP21" s="1"/>
      <c r="HQ21" s="1"/>
      <c r="HR21" s="1"/>
      <c r="HS21" s="57">
        <f t="shared" si="124"/>
        <v>0</v>
      </c>
      <c r="HT21" s="2" t="str">
        <f t="shared" si="125"/>
        <v/>
      </c>
      <c r="HU21" s="72">
        <f t="shared" si="126"/>
        <v>2.6369444444426335</v>
      </c>
      <c r="HV21" s="72">
        <f t="shared" si="127"/>
        <v>41.802500000107102</v>
      </c>
      <c r="HW21" s="72" t="str">
        <f t="shared" si="128"/>
        <v/>
      </c>
      <c r="HX21" s="72" t="str">
        <f t="shared" si="129"/>
        <v/>
      </c>
      <c r="HY21" s="72" t="str">
        <f t="shared" si="130"/>
        <v/>
      </c>
      <c r="HZ21" s="2" t="e">
        <f t="shared" si="131"/>
        <v>#VALUE!</v>
      </c>
      <c r="IA21" s="2" t="e">
        <f t="shared" si="132"/>
        <v>#VALUE!</v>
      </c>
      <c r="IB21" s="2" t="e">
        <f t="shared" si="133"/>
        <v>#VALUE!</v>
      </c>
      <c r="IC21" s="2" t="e">
        <f t="shared" si="134"/>
        <v>#VALUE!</v>
      </c>
      <c r="ID21" s="2" t="e">
        <f t="shared" si="135"/>
        <v>#VALUE!</v>
      </c>
      <c r="IE21" s="14" t="e">
        <f>HZ21*EXP(DATA!$B$4*'Inputs-new'!HU21)</f>
        <v>#VALUE!</v>
      </c>
      <c r="IF21" s="14" t="e">
        <f>IA21*EXP(DATA!$B$4*'Inputs-new'!HV21)</f>
        <v>#VALUE!</v>
      </c>
      <c r="IG21" s="14" t="e">
        <f>IB21*EXP(DATA!$B$4*'Inputs-new'!HW21)</f>
        <v>#VALUE!</v>
      </c>
      <c r="IH21" s="14" t="e">
        <f>IC21*EXP(DATA!$B$4*'Inputs-new'!HX21)</f>
        <v>#VALUE!</v>
      </c>
      <c r="II21" s="14" t="e">
        <f>ID21*EXP(DATA!$B$4*'Inputs-new'!HY21)</f>
        <v>#VALUE!</v>
      </c>
      <c r="IJ21" s="2" t="e">
        <f t="array" ref="IJ21:IK21">LOGEST(IF21:IH21, HV21:HX21, TRUE, FALSE)</f>
        <v>#VALUE!</v>
      </c>
      <c r="IK21" s="2" t="e">
        <v>#VALUE!</v>
      </c>
      <c r="IL21" s="2" t="e">
        <f t="shared" si="136"/>
        <v>#VALUE!</v>
      </c>
      <c r="IM21" s="2" t="e">
        <f t="shared" si="137"/>
        <v>#VALUE!</v>
      </c>
      <c r="IN21" s="2" t="e">
        <f>(IM21*DATA!$B$3)/(DATA!$B$3+'Inputs-new'!IM21)</f>
        <v>#VALUE!</v>
      </c>
      <c r="IO21" s="2" t="e">
        <f t="shared" si="138"/>
        <v>#VALUE!</v>
      </c>
      <c r="IP21" s="2" t="e">
        <f t="shared" si="139"/>
        <v>#VALUE!</v>
      </c>
      <c r="IQ21" s="2" t="e">
        <f t="shared" si="140"/>
        <v>#VALUE!</v>
      </c>
      <c r="IR21" s="2" t="e">
        <f t="shared" si="141"/>
        <v>#VALUE!</v>
      </c>
      <c r="IS21" s="2" t="e">
        <f t="shared" si="142"/>
        <v>#VALUE!</v>
      </c>
      <c r="IT21" s="63" t="e">
        <f t="shared" si="143"/>
        <v>#VALUE!</v>
      </c>
      <c r="IU21" s="2" t="e">
        <f t="shared" si="144"/>
        <v>#VALUE!</v>
      </c>
      <c r="IV21" s="72" t="e">
        <f t="shared" si="145"/>
        <v>#VALUE!</v>
      </c>
    </row>
    <row r="22" spans="1:256" ht="15.75" thickBot="1" x14ac:dyDescent="0.3">
      <c r="A22" s="5">
        <v>21</v>
      </c>
      <c r="B22" s="82" t="s">
        <v>291</v>
      </c>
      <c r="C22" s="82" t="s">
        <v>160</v>
      </c>
      <c r="D22" s="46"/>
      <c r="E22" s="82">
        <v>170</v>
      </c>
      <c r="F22" s="82">
        <v>100.5</v>
      </c>
      <c r="G22" s="85">
        <f t="shared" si="330"/>
        <v>84.786000000000001</v>
      </c>
      <c r="H22" s="82">
        <v>60.28</v>
      </c>
      <c r="I22" s="63">
        <f>Z22*EXP(DATA!$B$4*Y22)</f>
        <v>87.161094918219291</v>
      </c>
      <c r="J22" s="63">
        <f>AA22*EXP(DATA!$B$5*'Inputs-new'!Y22)</f>
        <v>87.161094918219291</v>
      </c>
      <c r="K22" s="1"/>
      <c r="L22" s="48">
        <v>45635.615972222222</v>
      </c>
      <c r="M22" s="48">
        <v>45635.615972222222</v>
      </c>
      <c r="N22" s="1">
        <v>39.6</v>
      </c>
      <c r="O22" s="48">
        <v>45642.416666666664</v>
      </c>
      <c r="P22" s="1">
        <v>200</v>
      </c>
      <c r="Q22" s="1">
        <v>190850.66</v>
      </c>
      <c r="R22" s="1">
        <v>44.295000000000002</v>
      </c>
      <c r="S22" s="2">
        <f t="shared" ref="S22" si="333">N22/P22</f>
        <v>0.19800000000000001</v>
      </c>
      <c r="T22" s="13">
        <f>Q22*EXP((O22-M22)*24*DATA!$B$4)</f>
        <v>589464.35224085581</v>
      </c>
      <c r="U22" s="20">
        <f t="shared" ref="U22" si="334">T22/S22</f>
        <v>2977092.6880851304</v>
      </c>
      <c r="V22" s="48">
        <v>45635.688645833332</v>
      </c>
      <c r="W22" s="82">
        <v>350</v>
      </c>
      <c r="X22" s="82">
        <v>246048.61</v>
      </c>
      <c r="Y22" s="85">
        <f t="shared" si="241"/>
        <v>1.7441666666418314</v>
      </c>
      <c r="Z22" s="85">
        <f t="shared" si="242"/>
        <v>86.117013499999999</v>
      </c>
      <c r="AA22" s="17">
        <f>IF(Z22 = "", "", Z22*EXP(Y22*DATA!$B$4)*EXP(-DATA!$B$5*'Inputs-new'!Y22))</f>
        <v>86.615705493891724</v>
      </c>
      <c r="AB22" s="48">
        <v>45637.303287037037</v>
      </c>
      <c r="AC22" s="82">
        <v>142.80000000000001</v>
      </c>
      <c r="AD22" s="82">
        <v>255908.82</v>
      </c>
      <c r="AE22" s="85">
        <f t="shared" si="243"/>
        <v>40.495555555564351</v>
      </c>
      <c r="AF22" s="85">
        <f t="shared" si="244"/>
        <v>36.543779496000006</v>
      </c>
      <c r="AG22" s="17">
        <f>IF(AF22 = "", "", AF22*EXP(AE22*DATA!$B$4)*EXP(-DATA!$B$5*'Inputs-new'!AE22))</f>
        <v>41.786520252345156</v>
      </c>
      <c r="AH22" s="48">
        <v>45638.321342592593</v>
      </c>
      <c r="AI22" s="82">
        <v>94.7</v>
      </c>
      <c r="AJ22" s="82">
        <v>281243.12</v>
      </c>
      <c r="AK22" s="19">
        <f t="shared" ref="AK22" si="335">IF(AH22="","",(AH22-$L22)*24)</f>
        <v>64.928888888913207</v>
      </c>
      <c r="AL22" s="19">
        <f t="shared" ref="AL22" si="336">IF(AI22 = "", "", AI22*AJ22/1000000)</f>
        <v>26.633723464000003</v>
      </c>
      <c r="AM22" s="17">
        <f>IF(AL22 = "", "", AL22*EXP(AK22*DATA!$B$4)*EXP(-DATA!$B$5*'Inputs-new'!AK22))</f>
        <v>33.020512807928505</v>
      </c>
      <c r="AN22" s="48"/>
      <c r="AO22" s="1"/>
      <c r="AP22" s="1"/>
      <c r="AQ22" s="19" t="str">
        <f t="shared" ref="AQ22" si="337">IF(AN22="","",(AN22-$L22)*24)</f>
        <v/>
      </c>
      <c r="AR22" s="19" t="str">
        <f t="shared" ref="AR22" si="338">IF(AO22 = "", "", AO22*AP22/1000000)</f>
        <v/>
      </c>
      <c r="AS22" s="17" t="str">
        <f>IF(AR22 = "", "", AR22*EXP(AQ22*DATA!$B$4)*EXP(-DATA!$B$5*'Inputs-new'!AQ22))</f>
        <v/>
      </c>
      <c r="AT22" s="1"/>
      <c r="AU22" s="1"/>
      <c r="AV22" s="1"/>
      <c r="AW22" s="19" t="str">
        <f t="shared" ref="AW22:AW23" si="339">IF(AT22="","",(AT22-$L22)*24)</f>
        <v/>
      </c>
      <c r="AX22" s="19" t="str">
        <f t="shared" ref="AX22" si="340">IF(AU22 = "", "", AU22*AV22/1000000)</f>
        <v/>
      </c>
      <c r="AY22" s="17" t="str">
        <f>IF(AX22 = "", "", AX22*EXP(AW22*DATA!$B$4)*EXP(-DATA!$B$5*'Inputs-new'!AW22))</f>
        <v/>
      </c>
      <c r="AZ22" s="80">
        <v>45635.677083333336</v>
      </c>
      <c r="BA22" s="80">
        <v>45642.423611111109</v>
      </c>
      <c r="BB22" s="1">
        <v>4102.96</v>
      </c>
      <c r="BC22" s="63">
        <f t="shared" ref="BC22" si="341">IF(AZ22 = "", "", 24*(AZ22-$L22))</f>
        <v>1.4666666667326353</v>
      </c>
      <c r="BD22" s="12">
        <f>IF(BB22 = "", "", BB22*EXP(DATA!$B$4*(BA22-AZ22)*24))</f>
        <v>12559.150251537563</v>
      </c>
      <c r="BE22" s="12">
        <f>IF(BD22 = "", "", BD22*EXP(BC22*DATA!$B$4)*EXP(-BC22*DATA!$B$5))</f>
        <v>12620.279276127529</v>
      </c>
      <c r="BF22" s="14">
        <f t="shared" ref="BF22" si="342">BD22*$S22/$T22</f>
        <v>4.2185956459473298E-3</v>
      </c>
      <c r="BG22" s="14">
        <f t="shared" ref="BG22" si="343">BE22*$S22/$T22</f>
        <v>4.2391287737315658E-3</v>
      </c>
      <c r="BH22" s="16">
        <v>45637.340277777781</v>
      </c>
      <c r="BI22" s="16">
        <v>45642.429166666669</v>
      </c>
      <c r="BJ22" s="1">
        <v>2946.27</v>
      </c>
      <c r="BK22" s="63">
        <f t="shared" ref="BK22" si="344">IF(BH22 = "", "", 24*(BH22-$L22))</f>
        <v>41.383333333418705</v>
      </c>
      <c r="BL22" s="12">
        <f>IF(BJ22 = "", "", BJ22*EXP(DATA!$B$4*(BI22-BH22)*24))</f>
        <v>6851.0598107142623</v>
      </c>
      <c r="BM22" s="12">
        <f>IF(BL22 = "", "", BL22*EXP(BK22*DATA!$B$4)*EXP(-BK22*DATA!$B$5))</f>
        <v>7857.0028831488444</v>
      </c>
      <c r="BN22" s="14">
        <f t="shared" ref="BN22" si="345">BL22*$S22/$T22</f>
        <v>2.301258485546472E-3</v>
      </c>
      <c r="BO22" s="14">
        <f t="shared" ref="BO22" si="346">BM22*($S22/$T22)</f>
        <v>2.6391529274832483E-3</v>
      </c>
      <c r="BP22" s="16">
        <v>45638.297222222223</v>
      </c>
      <c r="BQ22" s="16">
        <v>45642.433333333334</v>
      </c>
      <c r="BR22" s="1">
        <v>2068.15</v>
      </c>
      <c r="BS22" s="2">
        <f t="shared" ref="BS22" si="347">IF(BP22 = "", "", 24*(BP22-$L22))</f>
        <v>64.350000000034925</v>
      </c>
      <c r="BT22" s="12">
        <f>IF(BR22 = "", "", BR22*EXP(DATA!$B$4*(BQ22-BP22)*24))</f>
        <v>4106.3058619189815</v>
      </c>
      <c r="BU22" s="12">
        <f>IF(BT22 = "", "", BT22*EXP(BS22*DATA!$B$4)*EXP(-BS22*DATA!$B$5))</f>
        <v>5081.2541918597699</v>
      </c>
      <c r="BV22" s="14">
        <f t="shared" ref="BV22" si="348">BT22*$S22/$T22</f>
        <v>1.3793006439984786E-3</v>
      </c>
      <c r="BW22" s="2">
        <f t="shared" ref="BW22" si="349">BU22*$S22/$T22</f>
        <v>1.7067840085046324E-3</v>
      </c>
      <c r="BX22" s="16"/>
      <c r="BY22" s="16"/>
      <c r="BZ22" s="1"/>
      <c r="CA22" s="12" t="str">
        <f t="shared" ref="CA22" si="350">IF(BX22 = "", "", 24*(BX22-$L22))</f>
        <v/>
      </c>
      <c r="CB22" s="12" t="str">
        <f>IF(BZ22 = "", "", BZ22*EXP(DATA!$B$4*(BY22-BX22)*24))</f>
        <v/>
      </c>
      <c r="CC22" s="12" t="str">
        <f>IF(CB22 = "", "", CB22*EXP(CA22*DATA!$B$4)*EXP(-CA22*DATA!$B$5))</f>
        <v/>
      </c>
      <c r="CD22" s="14" t="e">
        <f t="shared" ref="CD22" si="351">CB22*$S22/$T22</f>
        <v>#VALUE!</v>
      </c>
      <c r="CE22" s="60" t="e">
        <f t="shared" ref="CE22" si="352">CC22*($S22/$T22)</f>
        <v>#VALUE!</v>
      </c>
      <c r="CF22" s="16"/>
      <c r="CG22" s="16"/>
      <c r="CH22" s="1"/>
      <c r="CI22" s="12" t="str">
        <f t="shared" ref="CI22:CI23" si="353">IF(CF22 = "", "", 24*(CF22-$L22))</f>
        <v/>
      </c>
      <c r="CJ22" s="12" t="str">
        <f>IF(CH22 = "", "", CH22*EXP(DATA!$B$4*(CG22-CF22)*24))</f>
        <v/>
      </c>
      <c r="CK22" s="12" t="str">
        <f>IF(CJ22 = "", "", CJ22*EXP(CI22*DATA!$B$4)*EXP(-CI22*DATA!$B$5))</f>
        <v/>
      </c>
      <c r="CL22" s="61" t="e">
        <f t="shared" ref="CL22" si="354">CJ22*$S22/$T22</f>
        <v>#VALUE!</v>
      </c>
      <c r="CM22" s="62" t="e">
        <f t="shared" ref="CM22" si="355">CK22*($S22/$T22)</f>
        <v>#VALUE!</v>
      </c>
      <c r="CN22" s="41">
        <f t="shared" ref="CN22" si="356">AA22</f>
        <v>86.615705493891724</v>
      </c>
      <c r="CO22" s="42">
        <f t="shared" ref="CO22" si="357">AG22</f>
        <v>41.786520252345156</v>
      </c>
      <c r="CP22" s="42">
        <f t="shared" ref="CP22" si="358">AM22</f>
        <v>33.020512807928505</v>
      </c>
      <c r="CQ22" s="42" t="str">
        <f t="shared" ref="CQ22" si="359">AS22</f>
        <v/>
      </c>
      <c r="CR22" s="42" t="str">
        <f t="shared" ref="CR22" si="360">AY22</f>
        <v/>
      </c>
      <c r="CS22" s="42">
        <f t="shared" ref="CS22" si="361">Y22</f>
        <v>1.7441666666418314</v>
      </c>
      <c r="CT22" s="42">
        <f t="shared" ref="CT22" si="362">AE22</f>
        <v>40.495555555564351</v>
      </c>
      <c r="CU22" s="42">
        <f t="shared" ref="CU22" si="363">AK22</f>
        <v>64.928888888913207</v>
      </c>
      <c r="CV22" s="42" t="str">
        <f t="shared" ref="CV22" si="364">AQ22</f>
        <v/>
      </c>
      <c r="CW22" s="42" t="str">
        <f t="shared" ref="CW22" si="365">AW22</f>
        <v/>
      </c>
      <c r="CX22" s="75">
        <f t="array" ref="CX22:CY22">LOGEST(CN22:CO22,CS22:CT22,TRUE,TRUE)</f>
        <v>0.98136596293653955</v>
      </c>
      <c r="CY22" s="75">
        <v>89.504477185659155</v>
      </c>
      <c r="CZ22" s="76">
        <v>0</v>
      </c>
      <c r="DA22" s="2">
        <v>2</v>
      </c>
      <c r="DB22" s="2">
        <v>4</v>
      </c>
      <c r="DC22" s="2">
        <v>10</v>
      </c>
      <c r="DD22" s="2">
        <v>18</v>
      </c>
      <c r="DE22" s="2">
        <v>24</v>
      </c>
      <c r="DF22" s="2">
        <v>26</v>
      </c>
      <c r="DG22" s="2">
        <v>34</v>
      </c>
      <c r="DH22" s="2">
        <v>42</v>
      </c>
      <c r="DI22" s="2">
        <v>48</v>
      </c>
      <c r="DJ22" s="2">
        <v>50</v>
      </c>
      <c r="DK22" s="2">
        <v>58</v>
      </c>
      <c r="DL22" s="2">
        <v>66</v>
      </c>
      <c r="DM22" s="2">
        <v>74</v>
      </c>
      <c r="DN22" s="2">
        <f t="shared" ref="DN22" si="366">($CY22*$CX22^CZ22)/$J22</f>
        <v>1.0268856451337445</v>
      </c>
      <c r="DO22" s="2">
        <f t="shared" ref="DO22" si="367">($CY22*$CX22^DA22)/$J22</f>
        <v>0.98897215755928236</v>
      </c>
      <c r="DP22" s="2">
        <f t="shared" ref="DP22" si="368">($CY22*$CX22^DB22)/$J22</f>
        <v>0.95245846805081802</v>
      </c>
      <c r="DQ22" s="2">
        <f t="shared" ref="DQ22" si="369">($CY22*$CX22^DC22)/$J22</f>
        <v>0.85080884083836705</v>
      </c>
      <c r="DR22" s="2">
        <f t="shared" ref="DR22" si="370">($CY22*$CX22^DD22)/$J22</f>
        <v>0.73194748519028374</v>
      </c>
      <c r="DS22" s="2">
        <f t="shared" ref="DS22" si="371">($CY22*$CX22^DE22)/$J22</f>
        <v>0.65383154470109328</v>
      </c>
      <c r="DT22" s="2">
        <f t="shared" ref="DT22" si="372">($CY22*$CX22^DF22)/$J22</f>
        <v>0.62969153041295156</v>
      </c>
      <c r="DU22" s="2">
        <f>($CY22*$CX22^DG22)/$J22</f>
        <v>0.54172113641557806</v>
      </c>
      <c r="DV22" s="2">
        <f t="shared" ref="DV22" si="373">($CY22*$CX22^DH22)/$J22</f>
        <v>0.4660405539311181</v>
      </c>
      <c r="DW22" s="2">
        <f t="shared" ref="DW22" si="374">($CY22*$CX22^DI22)/$J22</f>
        <v>0.41630311113224239</v>
      </c>
      <c r="DX22" s="2">
        <f t="shared" ref="DX22" si="375">($CY22*$CX22^DJ22)/$J22</f>
        <v>0.40093284774807902</v>
      </c>
      <c r="DY22" s="2">
        <f t="shared" ref="DY22" si="376">($CY22*$CX22^DK22)/$J22</f>
        <v>0.34492094528568251</v>
      </c>
      <c r="DZ22" s="2">
        <f t="shared" ref="DZ22" si="377">($CY22*$CX22^DL22)/$J22</f>
        <v>0.2967341268369269</v>
      </c>
      <c r="EA22" s="73">
        <f t="shared" ref="EA22" si="378">($CY22*$CX22^DM22)/$J22</f>
        <v>0.25527919725705445</v>
      </c>
      <c r="EB22" s="75">
        <f t="array" ref="EB22:EC22">LOGEST(DN22:EA22,CZ22:DM22,TRUE,TRUE)</f>
        <v>0.98136596293653955</v>
      </c>
      <c r="EC22" s="75">
        <v>1.0268856451337443</v>
      </c>
      <c r="ED22" s="2">
        <f t="shared" ref="ED22" si="379">-LN(DW22/DN22)/DI22</f>
        <v>1.8809838079251684E-2</v>
      </c>
      <c r="EE22" s="2">
        <f t="shared" ref="EE22" si="380">LN(2)/ED22</f>
        <v>36.850247069618632</v>
      </c>
      <c r="EF22" s="17">
        <f t="shared" ref="EF22" si="381">(EC22*EE22)/LN(2)</f>
        <v>54.59300823362522</v>
      </c>
      <c r="EG22" s="2">
        <f t="shared" ref="EG22" si="382">BG22</f>
        <v>4.2391287737315658E-3</v>
      </c>
      <c r="EH22" s="2">
        <f t="shared" ref="EH22" si="383">BO22</f>
        <v>2.6391529274832483E-3</v>
      </c>
      <c r="EI22" s="2">
        <f t="shared" ref="EI22" si="384">BW22</f>
        <v>1.7067840085046324E-3</v>
      </c>
      <c r="EJ22" s="2" t="e">
        <f t="shared" ref="EJ22" si="385">CE22</f>
        <v>#VALUE!</v>
      </c>
      <c r="EK22" s="2" t="e">
        <f t="shared" ref="EK22" si="386">CM22</f>
        <v>#VALUE!</v>
      </c>
      <c r="EL22" s="12">
        <f t="shared" ref="EL22" si="387">BC22</f>
        <v>1.4666666667326353</v>
      </c>
      <c r="EM22" s="12">
        <f t="shared" ref="EM22" si="388">BK22</f>
        <v>41.383333333418705</v>
      </c>
      <c r="EN22" s="12">
        <f t="shared" ref="EN22" si="389">BS22</f>
        <v>64.350000000034925</v>
      </c>
      <c r="EO22" s="12" t="str">
        <f t="shared" ref="EO22" si="390">CA22</f>
        <v/>
      </c>
      <c r="EP22" s="12" t="str">
        <f t="shared" ref="EP22" si="391">CI22</f>
        <v/>
      </c>
      <c r="EQ22" s="35">
        <f t="array" ref="EQ22:ER22">LOGEST(EG22:EI22, EL22:EN22, TRUE, TRUE)</f>
        <v>0.98592182442464704</v>
      </c>
      <c r="ER22" s="35">
        <v>4.4361063374510606E-3</v>
      </c>
      <c r="ES22" s="53">
        <v>0</v>
      </c>
      <c r="ET22" s="53">
        <v>2</v>
      </c>
      <c r="EU22" s="53">
        <v>4</v>
      </c>
      <c r="EV22" s="53">
        <v>10</v>
      </c>
      <c r="EW22" s="53">
        <v>18</v>
      </c>
      <c r="EX22" s="53">
        <v>24</v>
      </c>
      <c r="EY22" s="53">
        <v>26</v>
      </c>
      <c r="EZ22" s="53">
        <v>34</v>
      </c>
      <c r="FA22" s="53">
        <v>42</v>
      </c>
      <c r="FB22" s="53">
        <v>48</v>
      </c>
      <c r="FC22" s="53">
        <v>50</v>
      </c>
      <c r="FD22" s="53">
        <v>58</v>
      </c>
      <c r="FE22" s="53">
        <v>66</v>
      </c>
      <c r="FF22" s="53">
        <v>72</v>
      </c>
      <c r="FG22" s="53">
        <v>78</v>
      </c>
      <c r="FH22" s="53">
        <v>84</v>
      </c>
      <c r="FI22" s="53">
        <v>90</v>
      </c>
      <c r="FJ22" s="53">
        <v>96</v>
      </c>
      <c r="FK22" s="54">
        <f t="shared" ref="FK22" si="392">($ER22*$EQ22^ES22)/$I22</f>
        <v>5.0895486588521286E-5</v>
      </c>
      <c r="FL22" s="54">
        <f t="shared" ref="FL22" si="393">($ER22*$EQ22^ET22)/$I22</f>
        <v>4.9472542628514425E-5</v>
      </c>
      <c r="FM22" s="54">
        <f t="shared" ref="FM22" si="394">($ER22*$EQ22^EU22)/$I22</f>
        <v>4.8089381557895969E-5</v>
      </c>
      <c r="FN22" s="54">
        <f t="shared" ref="FN22" si="395">($ER22*$EQ22^EV22)/$I22</f>
        <v>4.416762773380794E-5</v>
      </c>
      <c r="FO22" s="54">
        <f t="shared" ref="FO22" si="396">($ER22*$EQ22^EW22)/$I22</f>
        <v>3.943155609123418E-5</v>
      </c>
      <c r="FP22" s="54">
        <f t="shared" ref="FP22" si="397">($ER22*$EQ22^EX22)/$I22</f>
        <v>3.6215859592738696E-5</v>
      </c>
      <c r="FQ22" s="54">
        <f t="shared" ref="FQ22" si="398">($ER22*$EQ22^EY22)/$I22</f>
        <v>3.5203330936109904E-5</v>
      </c>
      <c r="FR22" s="54">
        <f t="shared" ref="FR22" si="399">($ER22*$EQ22^EZ22)/$I22</f>
        <v>3.142849615495568E-5</v>
      </c>
      <c r="FS22" s="54">
        <f t="shared" ref="FS22" si="400">($ER22*$EQ22^FA22)/$I22</f>
        <v>2.8058434934885014E-5</v>
      </c>
      <c r="FT22" s="54">
        <f t="shared" ref="FT22" si="401">($ER22*$EQ22^FB22)/$I22</f>
        <v>2.5770231781942976E-5</v>
      </c>
      <c r="FU22" s="54">
        <f t="shared" ref="FU22" si="402">($ER22*$EQ22^FC22)/$I22</f>
        <v>2.5049743618452991E-5</v>
      </c>
      <c r="FV22" s="54">
        <f t="shared" ref="FV22" si="403">($ER22*$EQ22^FD22)/$I22</f>
        <v>2.2363672699722443E-5</v>
      </c>
      <c r="FW22" s="54">
        <f t="shared" ref="FW22" si="404">($ER22*$EQ22^FE22)/$I22</f>
        <v>1.9965627762029682E-5</v>
      </c>
      <c r="FX22" s="54">
        <f t="shared" ref="FX22" si="405">($ER22*$EQ22^FF22)/$I22</f>
        <v>1.8337403931956294E-5</v>
      </c>
      <c r="FY22" s="54">
        <f t="shared" ref="FY22" si="406">($ER22*$EQ22^FG22)/$I22</f>
        <v>1.6841963947821406E-5</v>
      </c>
      <c r="FZ22" s="54">
        <f t="shared" ref="FZ22" si="407">($ER22*$EQ22^FH22)/$I22</f>
        <v>1.5468479108179584E-5</v>
      </c>
      <c r="GA22" s="54">
        <f t="shared" ref="GA22" si="408">($ER22*$EQ22^FI22)/$I22</f>
        <v>1.4207003806770377E-5</v>
      </c>
      <c r="GB22" s="77">
        <f t="shared" ref="GB22" si="409">($ER22*$EQ22^FJ22)/$I22</f>
        <v>1.3048403514916831E-5</v>
      </c>
      <c r="GC22" s="75">
        <f t="array" ref="GC22:GD22">LOGEST(FK22:GB22, ES22:FJ22, TRUE, TRUE)</f>
        <v>0.98592182442464704</v>
      </c>
      <c r="GD22" s="75">
        <v>5.0895486588521252E-5</v>
      </c>
      <c r="GE22" s="2">
        <f t="shared" ref="GE22" si="410">-LN(FT22/FK22)/FB22</f>
        <v>1.4178213096149127E-2</v>
      </c>
      <c r="GF22" s="2">
        <f t="shared" ref="GF22" si="411">LN(2)/GE22</f>
        <v>48.888190342421041</v>
      </c>
      <c r="GG22" s="2">
        <f>(GF22*DATA!$B$3)/(DATA!$B$3+GF22)</f>
        <v>38.9911943610145</v>
      </c>
      <c r="GH22" s="17">
        <f t="shared" ref="GH22" si="412">(GG22*GD22)/LN(2)</f>
        <v>2.8629934093770959E-3</v>
      </c>
      <c r="GI22" s="96">
        <f>DATA!$B$6/DW22</f>
        <v>7.1102038895398252</v>
      </c>
      <c r="GJ22" s="96"/>
      <c r="GK22" s="2">
        <f t="shared" ref="GK22" si="413">IF(G22&lt;F22, 0.0188*(G22^(-2/3)), 0.0188*F22^(-2/3))</f>
        <v>9.7411093383579378E-4</v>
      </c>
      <c r="GL22" s="2">
        <f>GK22*EF22 + GH22*DATA!$B$8</f>
        <v>0.3623829344440882</v>
      </c>
      <c r="GM22" s="96">
        <f>DATA!$B$7/GL22</f>
        <v>5.5190236898657776</v>
      </c>
      <c r="GN22" s="96"/>
      <c r="GO22" s="93">
        <f t="shared" ref="GO22" si="414">GI22</f>
        <v>7.1102038895398252</v>
      </c>
      <c r="GP22" s="51">
        <f t="shared" ref="GP22" si="415">ROUNDDOWN(GO22*27.027,0)</f>
        <v>192</v>
      </c>
      <c r="GQ22" s="93">
        <f t="shared" ref="GQ22" si="416">GM22</f>
        <v>5.5190236898657776</v>
      </c>
      <c r="GR22" s="51">
        <f t="shared" ref="GR22" si="417">ROUNDDOWN(GQ22 * 27.027,0)</f>
        <v>149</v>
      </c>
      <c r="GS22" s="1"/>
      <c r="GT22" s="1"/>
      <c r="GU22" s="1"/>
      <c r="GV22" s="57">
        <f t="shared" ref="GV22" si="418">V22</f>
        <v>45635.688645833332</v>
      </c>
      <c r="GW22" s="2">
        <f t="shared" si="236"/>
        <v>1.7441666666418314</v>
      </c>
      <c r="GX22" s="1"/>
      <c r="GY22" s="2" t="str">
        <f t="shared" si="331"/>
        <v/>
      </c>
      <c r="GZ22" s="2" t="str">
        <f t="shared" si="332"/>
        <v/>
      </c>
      <c r="HA22" s="1"/>
      <c r="HB22" s="1"/>
      <c r="HC22" s="1"/>
      <c r="HD22" s="57">
        <f t="shared" ref="HD22" si="419">AB22</f>
        <v>45637.303287037037</v>
      </c>
      <c r="HE22" s="2">
        <f t="shared" ref="HE22" si="420">AE22</f>
        <v>40.495555555564351</v>
      </c>
      <c r="HF22" s="1"/>
      <c r="HG22" s="1"/>
      <c r="HH22" s="1"/>
      <c r="HI22" s="57">
        <f t="shared" ref="HI22" si="421">AH22</f>
        <v>45638.321342592593</v>
      </c>
      <c r="HJ22" s="2">
        <f t="shared" ref="HJ22" si="422">AK22</f>
        <v>64.928888888913207</v>
      </c>
      <c r="HK22" s="1"/>
      <c r="HL22" s="1"/>
      <c r="HM22" s="1"/>
      <c r="HN22" s="57">
        <f t="shared" ref="HN22" si="423">AN22</f>
        <v>0</v>
      </c>
      <c r="HO22" s="2" t="str">
        <f t="shared" ref="HO22" si="424">AQ22</f>
        <v/>
      </c>
      <c r="HP22" s="1"/>
      <c r="HQ22" s="1"/>
      <c r="HR22" s="1"/>
      <c r="HS22" s="57">
        <f t="shared" ref="HS22" si="425">AT22</f>
        <v>0</v>
      </c>
      <c r="HT22" s="2" t="str">
        <f t="shared" ref="HT22" si="426">AW22</f>
        <v/>
      </c>
      <c r="HU22" s="72">
        <f t="shared" ref="HU22" si="427">GW22</f>
        <v>1.7441666666418314</v>
      </c>
      <c r="HV22" s="72">
        <f t="shared" ref="HV22" si="428">HE22</f>
        <v>40.495555555564351</v>
      </c>
      <c r="HW22" s="72">
        <f t="shared" ref="HW22" si="429">HJ22</f>
        <v>64.928888888913207</v>
      </c>
      <c r="HX22" s="72" t="str">
        <f t="shared" ref="HX22" si="430">HO22</f>
        <v/>
      </c>
      <c r="HY22" s="72" t="str">
        <f t="shared" ref="HY22" si="431">HT22</f>
        <v/>
      </c>
      <c r="HZ22" s="2" t="e">
        <f t="shared" ref="HZ22" si="432">(GS22-GU22)*GT22/GY22</f>
        <v>#VALUE!</v>
      </c>
      <c r="IA22" s="2" t="e">
        <f t="shared" ref="IA22" si="433">(HA22-HC22)*HB22/GY22</f>
        <v>#VALUE!</v>
      </c>
      <c r="IB22" s="2" t="e">
        <f t="shared" ref="IB22" si="434">(HF22-HH22)*HG22/GY22</f>
        <v>#VALUE!</v>
      </c>
      <c r="IC22" s="2" t="e">
        <f t="shared" ref="IC22" si="435">(HK22-HM22)*HL22/$GY22</f>
        <v>#VALUE!</v>
      </c>
      <c r="ID22" s="2" t="e">
        <f t="shared" ref="ID22" si="436">(HP22-HR22)*HQ22/$GY22</f>
        <v>#VALUE!</v>
      </c>
      <c r="IE22" s="14" t="e">
        <f>HZ22*EXP(DATA!$B$4*'Inputs-new'!HU22)</f>
        <v>#VALUE!</v>
      </c>
      <c r="IF22" s="14" t="e">
        <f>IA22*EXP(DATA!$B$4*'Inputs-new'!HV22)</f>
        <v>#VALUE!</v>
      </c>
      <c r="IG22" s="14" t="e">
        <f>IB22*EXP(DATA!$B$4*'Inputs-new'!HW22)</f>
        <v>#VALUE!</v>
      </c>
      <c r="IH22" s="14" t="e">
        <f>IC22*EXP(DATA!$B$4*'Inputs-new'!HX22)</f>
        <v>#VALUE!</v>
      </c>
      <c r="II22" s="14" t="e">
        <f>ID22*EXP(DATA!$B$4*'Inputs-new'!HY22)</f>
        <v>#VALUE!</v>
      </c>
      <c r="IJ22" s="2" t="e">
        <f t="array" ref="IJ22:IK22">LOGEST(IF22:IH22, HV22:HX22, TRUE, FALSE)</f>
        <v>#VALUE!</v>
      </c>
      <c r="IK22" s="2" t="e">
        <v>#VALUE!</v>
      </c>
      <c r="IL22" s="2" t="e">
        <f t="shared" ref="IL22" si="437">IF(IK22="","",-LN(IJ22))</f>
        <v>#VALUE!</v>
      </c>
      <c r="IM22" s="2" t="e">
        <f t="shared" ref="IM22" si="438">LN(2)/IL22</f>
        <v>#VALUE!</v>
      </c>
      <c r="IN22" s="2" t="e">
        <f>(IM22*DATA!$B$3)/(DATA!$B$3+'Inputs-new'!IM22)</f>
        <v>#VALUE!</v>
      </c>
      <c r="IO22" s="2" t="e">
        <f t="shared" ref="IO22" si="439">IK22</f>
        <v>#VALUE!</v>
      </c>
      <c r="IP22" s="2" t="e">
        <f t="shared" ref="IP22" si="440">IO22/I22</f>
        <v>#VALUE!</v>
      </c>
      <c r="IQ22" s="2" t="e">
        <f t="shared" ref="IQ22" si="441">IN22/LN(2)</f>
        <v>#VALUE!</v>
      </c>
      <c r="IR22" s="2" t="e">
        <f t="shared" ref="IR22" si="442">IQ22*IP22/1000</f>
        <v>#VALUE!</v>
      </c>
      <c r="IS22" s="2" t="e">
        <f t="shared" ref="IS22" si="443">110.01*(GY22^0.0275)</f>
        <v>#VALUE!</v>
      </c>
      <c r="IT22" s="63" t="e">
        <f t="shared" ref="IT22" si="444">IS22*IR22</f>
        <v>#VALUE!</v>
      </c>
      <c r="IU22" s="2" t="e">
        <f t="shared" ref="IU22" si="445">IT22/1000</f>
        <v>#VALUE!</v>
      </c>
      <c r="IV22" s="72" t="e">
        <f t="shared" ref="IV22" si="446">(80/IU22)/1000</f>
        <v>#VALUE!</v>
      </c>
    </row>
    <row r="23" spans="1:256" ht="15.75" thickBot="1" x14ac:dyDescent="0.3">
      <c r="A23" s="1">
        <v>22</v>
      </c>
      <c r="B23" s="1"/>
      <c r="C23" s="1" t="s">
        <v>159</v>
      </c>
      <c r="D23" s="46"/>
      <c r="E23" s="1">
        <v>171.5</v>
      </c>
      <c r="F23" s="1">
        <v>59</v>
      </c>
      <c r="G23" s="2">
        <f t="shared" si="330"/>
        <v>94.074000000000012</v>
      </c>
      <c r="H23" s="1">
        <v>59</v>
      </c>
      <c r="I23" s="63">
        <f>Z23*EXP(DATA!$B$4*Y23)</f>
        <v>77.992981093988774</v>
      </c>
      <c r="J23" s="63">
        <f>AA23*EXP(DATA!$B$5*'Inputs-new'!Y23)</f>
        <v>77.992981093988774</v>
      </c>
      <c r="K23" s="1"/>
      <c r="L23" s="48">
        <v>45691.630555555559</v>
      </c>
      <c r="M23" s="48">
        <v>45691.652083333334</v>
      </c>
      <c r="N23" s="1">
        <v>10.28</v>
      </c>
      <c r="O23" s="48">
        <v>45694.599305555559</v>
      </c>
      <c r="P23" s="1">
        <v>200</v>
      </c>
      <c r="Q23" s="1">
        <v>282091.12</v>
      </c>
      <c r="R23" s="1">
        <v>29.88</v>
      </c>
      <c r="S23" s="2">
        <f t="shared" ref="S23:S29" si="447">N23/P23</f>
        <v>5.1399999999999994E-2</v>
      </c>
      <c r="T23" s="13">
        <f>Q23*EXP((O23-M23)*24*DATA!$B$4)</f>
        <v>459873.90576636739</v>
      </c>
      <c r="U23" s="20">
        <f t="shared" ref="U23:U29" si="448">T23/S23</f>
        <v>8946963.1472055931</v>
      </c>
      <c r="V23" s="48">
        <v>45691.721354166664</v>
      </c>
      <c r="W23" s="1">
        <v>402.7</v>
      </c>
      <c r="X23" s="1">
        <v>190780.89</v>
      </c>
      <c r="Y23" s="19">
        <f t="shared" si="241"/>
        <v>2.1791666665230878</v>
      </c>
      <c r="Z23" s="19">
        <f t="shared" si="242"/>
        <v>76.827464402999993</v>
      </c>
      <c r="AA23" s="17">
        <f>IF(Z23 = "", "", Z23*EXP(Y23*DATA!$B$4)*EXP(-DATA!$B$5*'Inputs-new'!Y23))</f>
        <v>77.383721354213719</v>
      </c>
      <c r="AB23" s="48">
        <v>45692.305243055554</v>
      </c>
      <c r="AC23" s="1">
        <v>273.2</v>
      </c>
      <c r="AD23" s="1">
        <v>200814.87</v>
      </c>
      <c r="AE23" s="19">
        <f t="shared" si="243"/>
        <v>16.192499999888241</v>
      </c>
      <c r="AF23" s="19">
        <f t="shared" si="244"/>
        <v>54.862622483999999</v>
      </c>
      <c r="AG23" s="17">
        <f>IF(AF23 = "", "", AF23*EXP(AE23*DATA!$B$4)*EXP(-DATA!$B$5*'Inputs-new'!AE23))</f>
        <v>57.883853329873482</v>
      </c>
      <c r="AH23" s="48">
        <v>45693.29923611111</v>
      </c>
      <c r="AI23" s="1">
        <v>187.7</v>
      </c>
      <c r="AJ23" s="1">
        <v>190503.41</v>
      </c>
      <c r="AK23" s="19">
        <f t="shared" ref="AK23:AK29" si="449">IF(AH23="","",(AH23-$L23)*24)</f>
        <v>40.048333333223127</v>
      </c>
      <c r="AL23" s="19">
        <f t="shared" ref="AL23:AL29" si="450">IF(AI23 = "", "", AI23*AJ23/1000000)</f>
        <v>35.757490056999998</v>
      </c>
      <c r="AM23" s="17">
        <f>IF(AL23 = "", "", AL23*EXP(AK23*DATA!$B$4)*EXP(-DATA!$B$5*'Inputs-new'!AK23))</f>
        <v>40.826934800421789</v>
      </c>
      <c r="AN23" s="48">
        <v>45694.313055555554</v>
      </c>
      <c r="AO23" s="1">
        <v>147.1</v>
      </c>
      <c r="AP23" s="1">
        <v>185304.85</v>
      </c>
      <c r="AQ23" s="19">
        <f t="shared" ref="AQ23:AQ29" si="451">IF(AN23="","",(AN23-$L23)*24)</f>
        <v>64.379999999888241</v>
      </c>
      <c r="AR23" s="19">
        <f t="shared" ref="AR23:AR29" si="452">IF(AO23 = "", "", AO23*AP23/1000000)</f>
        <v>27.258343434999997</v>
      </c>
      <c r="AS23" s="17">
        <f>IF(AR23 = "", "", AR23*EXP(AQ23*DATA!$B$4)*EXP(-DATA!$B$5*'Inputs-new'!AQ23))</f>
        <v>33.733563255709242</v>
      </c>
      <c r="AT23" s="1"/>
      <c r="AU23" s="1"/>
      <c r="AV23" s="1"/>
      <c r="AW23" s="19" t="str">
        <f t="shared" si="339"/>
        <v/>
      </c>
      <c r="AX23" s="19"/>
      <c r="AY23" s="17"/>
      <c r="AZ23" s="80">
        <v>45691.704861111109</v>
      </c>
      <c r="BA23" s="80">
        <v>45694.575694444444</v>
      </c>
      <c r="BB23" s="1">
        <v>8522.61</v>
      </c>
      <c r="BC23" s="63">
        <f t="shared" ref="BC23:BC29" si="453">IF(AZ23 = "", "", 24*(AZ23-$L23))</f>
        <v>1.783333333209157</v>
      </c>
      <c r="BD23" s="12">
        <f>IF(BB23 = "", "", BB23*EXP(DATA!$B$4*(BA23-AZ23)*24))</f>
        <v>13718.944162675649</v>
      </c>
      <c r="BE23" s="12">
        <f>IF(BD23 = "", "", BD23*EXP(BC23*DATA!$B$4)*EXP(-BC23*DATA!$B$5))</f>
        <v>13800.177978257432</v>
      </c>
      <c r="BF23" s="14">
        <f t="shared" ref="BF23:BF29" si="454">BD23*$S23/$T23</f>
        <v>1.5333632135235173E-3</v>
      </c>
      <c r="BG23" s="14">
        <f t="shared" ref="BG23:BG29" si="455">BE23*$S23/$T23</f>
        <v>1.5424426982878147E-3</v>
      </c>
      <c r="BH23" s="16">
        <v>45692.340277777781</v>
      </c>
      <c r="BI23" s="16">
        <v>45694.581250000003</v>
      </c>
      <c r="BJ23" s="1">
        <v>5059.8999999999996</v>
      </c>
      <c r="BK23" s="63">
        <f t="shared" ref="BK23:BK29" si="456">IF(BH23 = "", "", 24*(BH23-$L23))</f>
        <v>17.033333333325572</v>
      </c>
      <c r="BL23" s="12">
        <f>IF(BJ23 = "", "", BJ23*EXP(DATA!$B$4*(BI23-BH23)*24))</f>
        <v>7337.1848353064197</v>
      </c>
      <c r="BM23" s="12">
        <f>IF(BL23 = "", "", BL23*EXP(BK23*DATA!$B$4)*EXP(-BK23*DATA!$B$5))</f>
        <v>7762.8151412399357</v>
      </c>
      <c r="BN23" s="14">
        <f t="shared" ref="BN23:BN29" si="457">BL23*$S23/$T23</f>
        <v>8.2007545069614433E-4</v>
      </c>
      <c r="BO23" s="14">
        <f t="shared" ref="BO23:BO29" si="458">BM23*($S23/$T23)</f>
        <v>8.6764805146922932E-4</v>
      </c>
      <c r="BP23" s="16">
        <v>45693.347222222219</v>
      </c>
      <c r="BQ23" s="16">
        <v>45694.587500000001</v>
      </c>
      <c r="BR23" s="1">
        <v>2015.9825000000001</v>
      </c>
      <c r="BS23" s="2">
        <f t="shared" ref="BS23:BS29" si="459">IF(BP23 = "", "", 24*(BP23-$L23))</f>
        <v>41.199999999837019</v>
      </c>
      <c r="BT23" s="12">
        <f>IF(BR23 = "", "", BR23*EXP(DATA!$B$4*(BQ23-BP23)*24))</f>
        <v>2476.3243420670792</v>
      </c>
      <c r="BU23" s="12">
        <f>IF(BT23 = "", "", BT23*EXP(BS23*DATA!$B$4)*EXP(-BS23*DATA!$B$5))</f>
        <v>2838.2006266246776</v>
      </c>
      <c r="BV23" s="14">
        <f t="shared" ref="BV23:BV29" si="460">BT23*$S23/$T23</f>
        <v>2.7677819851538229E-4</v>
      </c>
      <c r="BW23" s="2">
        <f t="shared" ref="BW23:BW29" si="461">BU23*$S23/$T23</f>
        <v>3.1722502707649288E-4</v>
      </c>
      <c r="BX23" s="16">
        <v>45694.3</v>
      </c>
      <c r="BY23" s="16">
        <v>45694.593055555553</v>
      </c>
      <c r="BZ23" s="1">
        <v>1241.82</v>
      </c>
      <c r="CA23" s="12">
        <f t="shared" ref="CA23:CA29" si="462">IF(BX23 = "", "", 24*(BX23-$L23))</f>
        <v>64.066666666651145</v>
      </c>
      <c r="CB23" s="12">
        <f>IF(BZ23 = "", "", BZ23*EXP(DATA!$B$4*(BY23-BX23)*24))</f>
        <v>1303.6576497065539</v>
      </c>
      <c r="CC23" s="12">
        <f>IF(CB23 = "", "", CB23*EXP(CA23*DATA!$B$4)*EXP(-CA23*DATA!$B$5))</f>
        <v>1611.6688766127272</v>
      </c>
      <c r="CD23" s="14">
        <f t="shared" ref="CD23:CD29" si="463">CB23*$S23/$T23</f>
        <v>1.4570951374866519E-4</v>
      </c>
      <c r="CE23" s="60">
        <f t="shared" ref="CE23:CE29" si="464">CC23*($S23/$T23)</f>
        <v>1.8013585728427866E-4</v>
      </c>
      <c r="CF23" s="16"/>
      <c r="CG23" s="16"/>
      <c r="CH23" s="1"/>
      <c r="CI23" s="12" t="str">
        <f t="shared" si="353"/>
        <v/>
      </c>
      <c r="CJ23" s="12"/>
      <c r="CK23" s="12"/>
      <c r="CL23" s="61"/>
      <c r="CM23" s="62"/>
      <c r="CN23" s="41">
        <f t="shared" ref="CN23:CN29" si="465">AA23</f>
        <v>77.383721354213719</v>
      </c>
      <c r="CO23" s="42">
        <f t="shared" ref="CO23:CO29" si="466">AG23</f>
        <v>57.883853329873482</v>
      </c>
      <c r="CP23" s="42">
        <f t="shared" ref="CP23:CP29" si="467">AM23</f>
        <v>40.826934800421789</v>
      </c>
      <c r="CQ23" s="42">
        <f t="shared" ref="CQ23:CQ29" si="468">AS23</f>
        <v>33.733563255709242</v>
      </c>
      <c r="CR23" s="42">
        <f t="shared" ref="CR23:CR29" si="469">AY23</f>
        <v>0</v>
      </c>
      <c r="CS23" s="42">
        <f t="shared" ref="CS23:CS29" si="470">Y23</f>
        <v>2.1791666665230878</v>
      </c>
      <c r="CT23" s="42">
        <f t="shared" ref="CT23:CT29" si="471">AE23</f>
        <v>16.192499999888241</v>
      </c>
      <c r="CU23" s="42">
        <f t="shared" ref="CU23:CU29" si="472">AK23</f>
        <v>40.048333333223127</v>
      </c>
      <c r="CV23" s="42">
        <f t="shared" ref="CV23:CV29" si="473">AQ23</f>
        <v>64.379999999888241</v>
      </c>
      <c r="CW23" s="42" t="str">
        <f t="shared" ref="CW23:CW29" si="474">AW23</f>
        <v/>
      </c>
      <c r="CX23" s="75">
        <f t="array" ref="CX23:CY23">LOGEST(CN23:CQ23,CS23:CV23,TRUE,TRUE)</f>
        <v>0.98684847556551514</v>
      </c>
      <c r="CY23" s="75">
        <v>74.828052126140506</v>
      </c>
      <c r="CZ23" s="76">
        <v>0</v>
      </c>
      <c r="DA23" s="2">
        <v>2</v>
      </c>
      <c r="DB23" s="2">
        <v>4</v>
      </c>
      <c r="DC23" s="2">
        <v>10</v>
      </c>
      <c r="DD23" s="2">
        <v>18</v>
      </c>
      <c r="DE23" s="2">
        <v>24</v>
      </c>
      <c r="DF23" s="2">
        <v>26</v>
      </c>
      <c r="DG23" s="2">
        <v>34</v>
      </c>
      <c r="DH23" s="2">
        <v>42</v>
      </c>
      <c r="DI23" s="2">
        <v>48</v>
      </c>
      <c r="DJ23" s="2">
        <v>50</v>
      </c>
      <c r="DK23" s="2">
        <v>58</v>
      </c>
      <c r="DL23" s="2">
        <v>66</v>
      </c>
      <c r="DM23" s="2">
        <v>74</v>
      </c>
      <c r="DN23" s="2">
        <f t="shared" ref="DN23:DN29" si="475">($CY23*$CX23^CZ23)/$J23</f>
        <v>0.95942033599107801</v>
      </c>
      <c r="DO23" s="2">
        <f t="shared" ref="DO23:DO29" si="476">($CY23*$CX23^DA23)/$J23</f>
        <v>0.93435059983858304</v>
      </c>
      <c r="DP23" s="2">
        <f t="shared" ref="DP23:DP29" si="477">($CY23*$CX23^DB23)/$J23</f>
        <v>0.90993593805461936</v>
      </c>
      <c r="DQ23" s="2">
        <f t="shared" ref="DQ23:DQ29" si="478">($CY23*$CX23^DC23)/$J23</f>
        <v>0.84045345209199129</v>
      </c>
      <c r="DR23" s="2">
        <f t="shared" ref="DR23:DR29" si="479">($CY23*$CX23^DD23)/$J23</f>
        <v>0.7559924564241467</v>
      </c>
      <c r="DS23" s="2">
        <f t="shared" ref="DS23:DS29" si="480">($CY23*$CX23^DE23)/$J23</f>
        <v>0.69826505711552589</v>
      </c>
      <c r="DT23" s="2">
        <f t="shared" ref="DT23:DT29" si="481">($CY23*$CX23^DF23)/$J23</f>
        <v>0.68001933093096445</v>
      </c>
      <c r="DU23" s="2">
        <f t="shared" ref="DU23:DU29" si="482">($CY23*$CX23^DG23)/$J23</f>
        <v>0.6116810908763276</v>
      </c>
      <c r="DV23" s="2">
        <f t="shared" ref="DV23:DV29" si="483">($CY23*$CX23^DH23)/$J23</f>
        <v>0.55021047184559835</v>
      </c>
      <c r="DW23" s="2">
        <f t="shared" ref="DW23:DW29" si="484">($CY23*$CX23^DI23)/$J23</f>
        <v>0.50819653461366987</v>
      </c>
      <c r="DX23" s="2">
        <f t="shared" ref="DX23:DX29" si="485">($CY23*$CX23^DJ23)/$J23</f>
        <v>0.49491731532005712</v>
      </c>
      <c r="DY23" s="2">
        <f t="shared" ref="DY23:DY29" si="486">($CY23*$CX23^DK23)/$J23</f>
        <v>0.445180819954204</v>
      </c>
      <c r="DZ23" s="2">
        <f t="shared" ref="DZ23:DZ29" si="487">($CY23*$CX23^DL23)/$J23</f>
        <v>0.40044257155749918</v>
      </c>
      <c r="EA23" s="73">
        <f t="shared" ref="EA23:EA29" si="488">($CY23*$CX23^DM23)/$J23</f>
        <v>0.36020027352498829</v>
      </c>
      <c r="EB23" s="75">
        <f t="array" ref="EB23:EC23">LOGEST(DN23:EA23,CZ23:DM23,TRUE,TRUE)</f>
        <v>0.98684847556551514</v>
      </c>
      <c r="EC23" s="75">
        <v>0.9594203359910779</v>
      </c>
      <c r="ED23" s="2">
        <f t="shared" ref="ED23:ED29" si="489">-LN(DW23/DN23)/DI23</f>
        <v>1.3238771531133607E-2</v>
      </c>
      <c r="EE23" s="2">
        <f t="shared" ref="EE23:EE29" si="490">LN(2)/ED23</f>
        <v>52.357364044682825</v>
      </c>
      <c r="EF23" s="17">
        <f t="shared" ref="EF23:EF29" si="491">(EC23*EE23)/LN(2)</f>
        <v>72.470495750667652</v>
      </c>
      <c r="EG23" s="2">
        <f t="shared" ref="EG23:EG29" si="492">BG23</f>
        <v>1.5424426982878147E-3</v>
      </c>
      <c r="EH23" s="2">
        <f t="shared" ref="EH23:EH29" si="493">BO23</f>
        <v>8.6764805146922932E-4</v>
      </c>
      <c r="EI23" s="2">
        <f t="shared" ref="EI23:EI29" si="494">BW23</f>
        <v>3.1722502707649288E-4</v>
      </c>
      <c r="EJ23" s="2">
        <f t="shared" ref="EJ23:EJ29" si="495">CE23</f>
        <v>1.8013585728427866E-4</v>
      </c>
      <c r="EK23" s="2">
        <f t="shared" ref="EK23:EK29" si="496">CM23</f>
        <v>0</v>
      </c>
      <c r="EL23" s="12">
        <f t="shared" ref="EL23:EL29" si="497">BC23</f>
        <v>1.783333333209157</v>
      </c>
      <c r="EM23" s="12">
        <f t="shared" ref="EM23:EM29" si="498">BK23</f>
        <v>17.033333333325572</v>
      </c>
      <c r="EN23" s="12">
        <f t="shared" ref="EN23:EN29" si="499">BS23</f>
        <v>41.199999999837019</v>
      </c>
      <c r="EO23" s="12">
        <f t="shared" ref="EO23:EO29" si="500">CA23</f>
        <v>64.066666666651145</v>
      </c>
      <c r="EP23" s="12" t="str">
        <f t="shared" ref="EP23:EP29" si="501">CI23</f>
        <v/>
      </c>
      <c r="EQ23" s="35">
        <f t="array" ref="EQ23:ER23">LOGEST(EG23:EJ23, EL23:EO23, TRUE, TRUE)</f>
        <v>0.96543364428560385</v>
      </c>
      <c r="ER23" s="35">
        <v>1.5660406564337174E-3</v>
      </c>
      <c r="ES23" s="53">
        <v>0</v>
      </c>
      <c r="ET23" s="53">
        <v>2</v>
      </c>
      <c r="EU23" s="53">
        <v>4</v>
      </c>
      <c r="EV23" s="53">
        <v>10</v>
      </c>
      <c r="EW23" s="53">
        <v>18</v>
      </c>
      <c r="EX23" s="53">
        <v>24</v>
      </c>
      <c r="EY23" s="53">
        <v>26</v>
      </c>
      <c r="EZ23" s="53">
        <v>34</v>
      </c>
      <c r="FA23" s="53">
        <v>42</v>
      </c>
      <c r="FB23" s="53">
        <v>48</v>
      </c>
      <c r="FC23" s="53">
        <v>50</v>
      </c>
      <c r="FD23" s="53">
        <v>58</v>
      </c>
      <c r="FE23" s="53">
        <v>66</v>
      </c>
      <c r="FF23" s="53">
        <v>72</v>
      </c>
      <c r="FG23" s="53">
        <v>78</v>
      </c>
      <c r="FH23" s="53">
        <v>84</v>
      </c>
      <c r="FI23" s="53">
        <v>90</v>
      </c>
      <c r="FJ23" s="53">
        <v>96</v>
      </c>
      <c r="FK23" s="54">
        <f t="shared" ref="FK23:FK29" si="502">($ER23*$EQ23^ES23)/$I23</f>
        <v>2.0079251164236089E-5</v>
      </c>
      <c r="FL23" s="54">
        <f t="shared" ref="FL23:FL29" si="503">($ER23*$EQ23^ET23)/$I23</f>
        <v>1.8715109438642345E-5</v>
      </c>
      <c r="FM23" s="54">
        <f t="shared" ref="FM23:FM29" si="504">($ER23*$EQ23^EU23)/$I23</f>
        <v>1.7443644607833422E-5</v>
      </c>
      <c r="FN23" s="54">
        <f t="shared" ref="FN23:FN29" si="505">($ER23*$EQ23^EV23)/$I23</f>
        <v>1.4124458483845918E-5</v>
      </c>
      <c r="FO23" s="54">
        <f t="shared" ref="FO23:FO29" si="506">($ER23*$EQ23^EW23)/$I23</f>
        <v>1.0659853639432381E-5</v>
      </c>
      <c r="FP23" s="54">
        <f t="shared" ref="FP23:FP29" si="507">($ER23*$EQ23^EX23)/$I23</f>
        <v>8.6314909274419861E-6</v>
      </c>
      <c r="FQ23" s="54">
        <f t="shared" ref="FQ23:FQ29" si="508">($ER23*$EQ23^EY23)/$I23</f>
        <v>8.0450857456999691E-6</v>
      </c>
      <c r="FR23" s="54">
        <f t="shared" ref="FR23:FR29" si="509">($ER23*$EQ23^EZ23)/$I23</f>
        <v>6.0716973088864316E-6</v>
      </c>
      <c r="FS23" s="54">
        <f t="shared" ref="FS23:FS29" si="510">($ER23*$EQ23^FA23)/$I23</f>
        <v>4.5823636162539402E-6</v>
      </c>
      <c r="FT23" s="54">
        <f t="shared" ref="FT23:FT29" si="511">($ER23*$EQ23^FB23)/$I23</f>
        <v>3.7104289906594101E-6</v>
      </c>
      <c r="FU23" s="54">
        <f t="shared" ref="FU23:FU29" si="512">($ER23*$EQ23^FC23)/$I23</f>
        <v>3.4583503167780603E-6</v>
      </c>
      <c r="FV23" s="54">
        <f t="shared" ref="FV23:FV29" si="513">($ER23*$EQ23^FD23)/$I23</f>
        <v>2.6100475464529605E-6</v>
      </c>
      <c r="FW23" s="54">
        <f t="shared" ref="FW23:FW29" si="514">($ER23*$EQ23^FE23)/$I23</f>
        <v>1.9698259490067443E-6</v>
      </c>
      <c r="FX23" s="54">
        <f t="shared" ref="FX23:FX29" si="515">($ER23*$EQ23^FF23)/$I23</f>
        <v>1.5950064027705422E-6</v>
      </c>
      <c r="FY23" s="54">
        <f t="shared" ref="FY23:FY29" si="516">($ER23*$EQ23^FG23)/$I23</f>
        <v>1.2915077223760923E-6</v>
      </c>
      <c r="FZ23" s="54">
        <f t="shared" ref="FZ23:FZ29" si="517">($ER23*$EQ23^FH23)/$I23</f>
        <v>1.0457589349232465E-6</v>
      </c>
      <c r="GA23" s="54">
        <f t="shared" ref="GA23:GA29" si="518">($ER23*$EQ23^FI23)/$I23</f>
        <v>8.4677135957019003E-7</v>
      </c>
      <c r="GB23" s="77">
        <f t="shared" ref="GB23:GB29" si="519">($ER23*$EQ23^FJ23)/$I23</f>
        <v>6.8564724760489261E-7</v>
      </c>
      <c r="GC23" s="75">
        <f t="array" ref="GC23:GD23">LOGEST(FK23:GB23, ES23:FJ23, TRUE, TRUE)</f>
        <v>0.96543364428560385</v>
      </c>
      <c r="GD23" s="75">
        <v>2.0079251164236092E-5</v>
      </c>
      <c r="GE23" s="2">
        <f t="shared" ref="GE23:GE29" si="520">-LN(FT23/FK23)/FB23</f>
        <v>3.5177906263964782E-2</v>
      </c>
      <c r="GF23" s="2">
        <f t="shared" ref="GF23:GF29" si="521">LN(2)/GE23</f>
        <v>19.7040487673931</v>
      </c>
      <c r="GG23" s="2">
        <f>(GF23*DATA!$B$3)/(DATA!$B$3+GF23)</f>
        <v>17.875347137282645</v>
      </c>
      <c r="GH23" s="17">
        <f t="shared" ref="GH23:GH29" si="522">(GG23*GD23)/LN(2)</f>
        <v>5.1781727587416212E-4</v>
      </c>
      <c r="GI23" s="96">
        <f>DATA!$B$6/DW23</f>
        <v>5.8245182688035975</v>
      </c>
      <c r="GJ23" s="96"/>
      <c r="GK23" s="2">
        <f t="shared" ref="GK23:GK29" si="523">IF(G23&lt;F23, 0.0188*(G23^(-2/3)), 0.0188*F23^(-2/3))</f>
        <v>1.2404802138714797E-3</v>
      </c>
      <c r="GL23" s="2">
        <f>GK23*EF23 + GH23*DATA!$B$8</f>
        <v>0.14582248186256988</v>
      </c>
      <c r="GM23" s="96">
        <f>DATA!$B$7/GL23</f>
        <v>13.715306271394395</v>
      </c>
      <c r="GN23" s="96"/>
      <c r="GO23" s="93">
        <f t="shared" ref="GO23:GO29" si="524">GI23</f>
        <v>5.8245182688035975</v>
      </c>
      <c r="GP23" s="51">
        <f t="shared" ref="GP23:GP29" si="525">ROUNDDOWN(GO23*27.027,0)</f>
        <v>157</v>
      </c>
      <c r="GQ23" s="93">
        <f t="shared" ref="GQ23:GQ29" si="526">GM23</f>
        <v>13.715306271394395</v>
      </c>
      <c r="GR23" s="51">
        <f t="shared" ref="GR23:GR29" si="527">ROUNDDOWN(GQ23 * 27.027,0)</f>
        <v>370</v>
      </c>
      <c r="GS23" s="1">
        <v>16.7</v>
      </c>
      <c r="GT23" s="1">
        <v>15.13</v>
      </c>
      <c r="GU23" s="1">
        <v>9.1999999999999998E-2</v>
      </c>
      <c r="GV23" s="57">
        <f t="shared" ref="GV23:GV29" si="528">V23</f>
        <v>45691.721354166664</v>
      </c>
      <c r="GW23" s="2">
        <f t="shared" si="236"/>
        <v>2.1791666665230878</v>
      </c>
      <c r="GX23" s="1">
        <v>8</v>
      </c>
      <c r="GY23" s="2">
        <f t="shared" si="331"/>
        <v>0.26808257280000003</v>
      </c>
      <c r="GZ23" s="2">
        <f t="shared" si="332"/>
        <v>937.31956305665528</v>
      </c>
      <c r="HA23" s="1">
        <v>37.5</v>
      </c>
      <c r="HB23" s="1">
        <v>26.33</v>
      </c>
      <c r="HC23" s="1">
        <v>3.7900000000000003E-2</v>
      </c>
      <c r="HD23" s="57">
        <f t="shared" ref="HD23:HD29" si="529">AB23</f>
        <v>45692.305243055554</v>
      </c>
      <c r="HE23" s="2">
        <f t="shared" ref="HE23:HE29" si="530">AE23</f>
        <v>16.192499999888241</v>
      </c>
      <c r="HF23" s="1">
        <v>43.3</v>
      </c>
      <c r="HG23" s="1">
        <v>27.22</v>
      </c>
      <c r="HH23" s="1">
        <v>8.8999999999999996E-2</v>
      </c>
      <c r="HI23" s="57">
        <f t="shared" ref="HI23:HI29" si="531">AH23</f>
        <v>45693.29923611111</v>
      </c>
      <c r="HJ23" s="2">
        <f t="shared" ref="HJ23:HJ29" si="532">AK23</f>
        <v>40.048333333223127</v>
      </c>
      <c r="HK23" s="1">
        <v>37.700000000000003</v>
      </c>
      <c r="HL23" s="1">
        <v>28.96</v>
      </c>
      <c r="HM23" s="1">
        <v>4.0000000000000001E-3</v>
      </c>
      <c r="HN23" s="57">
        <f t="shared" ref="HN23:HN29" si="533">AN23</f>
        <v>45694.313055555554</v>
      </c>
      <c r="HO23" s="2">
        <f t="shared" ref="HO23:HO29" si="534">AQ23</f>
        <v>64.379999999888241</v>
      </c>
      <c r="HP23" s="1"/>
      <c r="HQ23" s="1"/>
      <c r="HR23" s="1"/>
      <c r="HS23" s="57">
        <f t="shared" ref="HS23:HS29" si="535">AT23</f>
        <v>0</v>
      </c>
      <c r="HT23" s="2" t="str">
        <f t="shared" ref="HT23:HT29" si="536">AW23</f>
        <v/>
      </c>
      <c r="HU23" s="72">
        <f t="shared" ref="HU23:HU29" si="537">GW23</f>
        <v>2.1791666665230878</v>
      </c>
      <c r="HV23" s="72">
        <f t="shared" ref="HV23:HV29" si="538">HE23</f>
        <v>16.192499999888241</v>
      </c>
      <c r="HW23" s="72">
        <f t="shared" ref="HW23:HW29" si="539">HJ23</f>
        <v>40.048333333223127</v>
      </c>
      <c r="HX23" s="72">
        <f t="shared" ref="HX23:HX29" si="540">HO23</f>
        <v>64.379999999888241</v>
      </c>
      <c r="HY23" s="72" t="str">
        <f t="shared" ref="HY23:HY29" si="541">HT23</f>
        <v/>
      </c>
      <c r="HZ23" s="2">
        <f t="shared" ref="HZ23:HZ29" si="542">(GS23-GU23)*GT23/GY23</f>
        <v>937.31956305665528</v>
      </c>
      <c r="IA23" s="2">
        <f t="shared" ref="IA23:IA29" si="543">(HA23-HC23)*HB23/GY23</f>
        <v>3679.3778972565869</v>
      </c>
      <c r="IB23" s="2">
        <f t="shared" ref="IB23:IB29" si="544">(HF23-HH23)*HG23/GY23</f>
        <v>4387.4669200429271</v>
      </c>
      <c r="IC23" s="2">
        <f t="shared" ref="IC23:IC29" si="545">(HK23-HM23)*HL23/$GY23</f>
        <v>4072.1638433932549</v>
      </c>
      <c r="ID23" s="2">
        <f t="shared" ref="ID23:ID29" si="546">(HP23-HR23)*HQ23/$GY23</f>
        <v>0</v>
      </c>
      <c r="IE23" s="14">
        <f>HZ23*EXP(DATA!$B$4*'Inputs-new'!HU23)</f>
        <v>951.53923832541477</v>
      </c>
      <c r="IF23" s="14">
        <f>IA23*EXP(DATA!$B$4*'Inputs-new'!HV23)</f>
        <v>4114.9370237839303</v>
      </c>
      <c r="IG23" s="14">
        <f>IB23*EXP(DATA!$B$4*'Inputs-new'!HW23)</f>
        <v>5786.1114915907865</v>
      </c>
      <c r="IH23" s="14">
        <f>IC23*EXP(DATA!$B$4*'Inputs-new'!HX23)</f>
        <v>6353.4579947316197</v>
      </c>
      <c r="II23" s="14" t="e">
        <f>ID23*EXP(DATA!$B$4*'Inputs-new'!HY23)</f>
        <v>#VALUE!</v>
      </c>
      <c r="IJ23" s="2">
        <f t="array" ref="IJ23:IK23">LOGEST(IF23:IH23, HV23:HX23, TRUE, FALSE)</f>
        <v>1.0090376926513493</v>
      </c>
      <c r="IK23" s="2">
        <v>3710.9279308806499</v>
      </c>
      <c r="IL23" s="2">
        <f>IF(IK23="","",-LN(IJ23))</f>
        <v>-8.9970971170964687E-3</v>
      </c>
      <c r="IM23" s="2">
        <f>LN(2)/IL23</f>
        <v>-77.041202461048556</v>
      </c>
      <c r="IN23" s="2">
        <f>(IM23*DATA!$B$3)/(DATA!$B$3+'Inputs-new'!IM23)</f>
        <v>-128.40120684862163</v>
      </c>
      <c r="IO23" s="2">
        <f t="shared" ref="IO23:IO29" si="547">IK23</f>
        <v>3710.9279308806499</v>
      </c>
      <c r="IP23" s="2">
        <f t="shared" ref="IP23:IP29" si="548">IO23/I23</f>
        <v>47.580280671777857</v>
      </c>
      <c r="IQ23" s="2">
        <f t="shared" ref="IQ23:IQ29" si="549">IN23/LN(2)</f>
        <v>-185.24378436466444</v>
      </c>
      <c r="IR23" s="2">
        <f t="shared" ref="IR23:IR29" si="550">IQ23*IP23/1000</f>
        <v>-8.8139512527730268</v>
      </c>
      <c r="IS23" s="2">
        <f t="shared" ref="IS23:IS29" si="551">110.01*(GY23^0.0275)</f>
        <v>106.09857493523442</v>
      </c>
      <c r="IT23" s="63">
        <f t="shared" ref="IT23:IT29" si="552">IS23*IR23</f>
        <v>-935.14766746784233</v>
      </c>
      <c r="IU23" s="2">
        <f t="shared" ref="IU23:IU29" si="553">IT23/1000</f>
        <v>-0.93514766746784228</v>
      </c>
      <c r="IV23" s="72">
        <f t="shared" ref="IV23:IV29" si="554">(80/IU23)/1000</f>
        <v>-8.5547986465732195E-2</v>
      </c>
    </row>
    <row r="24" spans="1:256" ht="15.75" thickBot="1" x14ac:dyDescent="0.3">
      <c r="A24" s="1">
        <v>23</v>
      </c>
      <c r="B24" s="1" t="s">
        <v>290</v>
      </c>
      <c r="C24" s="1" t="s">
        <v>160</v>
      </c>
      <c r="D24" s="92"/>
      <c r="E24" s="1">
        <v>171</v>
      </c>
      <c r="F24" s="1">
        <v>74.099999999999994</v>
      </c>
      <c r="G24" s="2">
        <f>IF(C24 = "M", 65.76+(1.452*(E24-152)), 62.34+(1.247*(E24-152)))</f>
        <v>86.033000000000001</v>
      </c>
      <c r="H24" s="1">
        <v>68.099999999999994</v>
      </c>
      <c r="I24" s="63">
        <f>Z24*EXP(DATA!$B$4*Y24)</f>
        <v>97.198127372815961</v>
      </c>
      <c r="J24" s="63">
        <f>AA24*EXP(DATA!$B$5*'Inputs-new'!Y24)</f>
        <v>97.198127372815975</v>
      </c>
      <c r="K24" s="1"/>
      <c r="L24" s="48">
        <v>45691.618055555555</v>
      </c>
      <c r="M24" s="48">
        <v>45691.652083333334</v>
      </c>
      <c r="N24" s="1">
        <v>10.28</v>
      </c>
      <c r="O24" s="48">
        <v>45700.724999999999</v>
      </c>
      <c r="P24" s="1">
        <v>200</v>
      </c>
      <c r="Q24" s="1">
        <v>53157.66</v>
      </c>
      <c r="R24" s="1">
        <v>11.6875</v>
      </c>
      <c r="S24" s="2">
        <f t="shared" si="447"/>
        <v>5.1399999999999994E-2</v>
      </c>
      <c r="T24" s="13">
        <f>Q24*EXP((O24-M24)*24*DATA!$B$4)</f>
        <v>239313.8229024387</v>
      </c>
      <c r="U24" s="20">
        <f t="shared" si="448"/>
        <v>4655910.9514093138</v>
      </c>
      <c r="V24" s="48">
        <v>45691.688125000001</v>
      </c>
      <c r="W24" s="1">
        <v>478.9</v>
      </c>
      <c r="X24" s="1">
        <v>200616.61</v>
      </c>
      <c r="Y24" s="19">
        <f t="shared" ref="Y24:Y29" si="555">IF(V24="","",(V24-$L24)*24)</f>
        <v>1.6816666667000391</v>
      </c>
      <c r="Z24" s="19">
        <f t="shared" ref="Z24:Z29" si="556">IF(W24 = "", "", W24*X24/1000000)</f>
        <v>96.07529452899999</v>
      </c>
      <c r="AA24" s="17">
        <f>IF(Z24 = "", "", Z24*EXP(Y24*DATA!$B$4)*EXP(-DATA!$B$5*'Inputs-new'!Y24))</f>
        <v>96.611661617264673</v>
      </c>
      <c r="AB24" s="48">
        <v>45693.341006944444</v>
      </c>
      <c r="AC24" s="1">
        <v>205.1</v>
      </c>
      <c r="AD24" s="1">
        <v>211607.26</v>
      </c>
      <c r="AE24" s="19">
        <f t="shared" ref="AE24:AE29" si="557">IF(AB24="","",(AB24-$L24)*24)</f>
        <v>41.350833333330229</v>
      </c>
      <c r="AF24" s="19">
        <f t="shared" ref="AF24:AF29" si="558">IF(AC24 = "", "", AC24*AD24/1000000)</f>
        <v>43.400649026000004</v>
      </c>
      <c r="AG24" s="17">
        <f>IF(AF24 = "", "", AF24*EXP(AE24*DATA!$B$4)*EXP(-DATA!$B$5*'Inputs-new'!AE24))</f>
        <v>49.767823779686957</v>
      </c>
      <c r="AH24" s="48">
        <v>45695.3049537037</v>
      </c>
      <c r="AI24" s="1">
        <v>137</v>
      </c>
      <c r="AJ24" s="1">
        <v>208252.01</v>
      </c>
      <c r="AK24" s="19">
        <f t="shared" si="449"/>
        <v>88.48555555549683</v>
      </c>
      <c r="AL24" s="19">
        <f t="shared" si="450"/>
        <v>28.530525369999999</v>
      </c>
      <c r="AM24" s="17">
        <f>IF(AL24 = "", "", AL24*EXP(AK24*DATA!$B$4)*EXP(-DATA!$B$5*'Inputs-new'!AK24))</f>
        <v>38.241106081626583</v>
      </c>
      <c r="AN24" s="48"/>
      <c r="AO24" s="1"/>
      <c r="AP24" s="1"/>
      <c r="AQ24" s="19" t="str">
        <f t="shared" si="451"/>
        <v/>
      </c>
      <c r="AR24" s="19" t="str">
        <f t="shared" si="452"/>
        <v/>
      </c>
      <c r="AS24" s="17" t="str">
        <f>IF(AR24 = "", "", AR24*EXP(AQ24*DATA!$B$4)*EXP(-DATA!$B$5*'Inputs-new'!AQ24))</f>
        <v/>
      </c>
      <c r="AT24" s="1"/>
      <c r="AU24" s="1"/>
      <c r="AV24" s="1"/>
      <c r="AW24" s="19"/>
      <c r="AX24" s="19"/>
      <c r="AY24" s="17"/>
      <c r="AZ24" s="80">
        <v>45691.673611111109</v>
      </c>
      <c r="BA24" s="80">
        <v>45700.704861111109</v>
      </c>
      <c r="BB24" s="1">
        <v>4960.0450000000001</v>
      </c>
      <c r="BC24" s="63">
        <f t="shared" si="453"/>
        <v>1.3333333333139308</v>
      </c>
      <c r="BD24" s="12">
        <f>IF(BB24 = "", "", BB24*EXP(DATA!$B$4*(BA24-AZ24)*24))</f>
        <v>22176.185630638905</v>
      </c>
      <c r="BE24" s="12">
        <f>IF(BD24 = "", "", BD24*EXP(BC24*DATA!$B$4)*EXP(-BC24*DATA!$B$5))</f>
        <v>22274.289344485311</v>
      </c>
      <c r="BF24" s="14">
        <f t="shared" si="454"/>
        <v>4.7630175624227347E-3</v>
      </c>
      <c r="BG24" s="14">
        <f t="shared" si="455"/>
        <v>4.7840883506895743E-3</v>
      </c>
      <c r="BH24" s="16">
        <v>45693.322916666664</v>
      </c>
      <c r="BI24" s="16">
        <v>45700.710416666669</v>
      </c>
      <c r="BJ24" s="1">
        <v>735.03750000000002</v>
      </c>
      <c r="BK24" s="63">
        <f t="shared" si="456"/>
        <v>40.916666666627862</v>
      </c>
      <c r="BL24" s="12">
        <f>IF(BJ24 = "", "", BJ24*EXP(DATA!$B$4*(BI24-BH24)*24))</f>
        <v>2502.2644325591541</v>
      </c>
      <c r="BM24" s="12">
        <f>IF(BL24 = "", "", BL24*EXP(BK24*DATA!$B$4)*EXP(-BK24*DATA!$B$5))</f>
        <v>2865.242625169823</v>
      </c>
      <c r="BN24" s="14">
        <f t="shared" si="457"/>
        <v>5.3743820675988992E-4</v>
      </c>
      <c r="BO24" s="14">
        <f t="shared" si="458"/>
        <v>6.1539893161026481E-4</v>
      </c>
      <c r="BP24" s="16">
        <v>45695.295138888891</v>
      </c>
      <c r="BQ24" s="16">
        <v>45700.716666666667</v>
      </c>
      <c r="BR24" s="1">
        <v>638.84749999999997</v>
      </c>
      <c r="BS24" s="2">
        <f t="shared" si="459"/>
        <v>88.250000000058208</v>
      </c>
      <c r="BT24" s="12">
        <f>IF(BR24 = "", "", BR24*EXP(DATA!$B$4*(BQ24-BP24)*24))</f>
        <v>1569.7770849645808</v>
      </c>
      <c r="BU24" s="12">
        <f>IF(BT24 = "", "", BT24*EXP(BS24*DATA!$B$4)*EXP(-BS24*DATA!$B$5))</f>
        <v>2102.4224719993058</v>
      </c>
      <c r="BV24" s="14">
        <f t="shared" si="460"/>
        <v>3.3715788410631424E-4</v>
      </c>
      <c r="BW24" s="2">
        <f t="shared" si="461"/>
        <v>4.5155985454638394E-4</v>
      </c>
      <c r="BX24" s="16"/>
      <c r="BY24" s="16"/>
      <c r="BZ24" s="1"/>
      <c r="CA24" s="12" t="str">
        <f t="shared" si="462"/>
        <v/>
      </c>
      <c r="CB24" s="12" t="str">
        <f>IF(BZ24 = "", "", BZ24*EXP(DATA!$B$4*(BY24-BX24)*24))</f>
        <v/>
      </c>
      <c r="CC24" s="12" t="str">
        <f>IF(CB24 = "", "", CB24*EXP(CA24*DATA!$B$4)*EXP(-CA24*DATA!$B$5))</f>
        <v/>
      </c>
      <c r="CD24" s="14" t="e">
        <f t="shared" si="463"/>
        <v>#VALUE!</v>
      </c>
      <c r="CE24" s="60" t="e">
        <f t="shared" si="464"/>
        <v>#VALUE!</v>
      </c>
      <c r="CF24" s="16"/>
      <c r="CG24" s="16"/>
      <c r="CH24" s="1"/>
      <c r="CI24" s="12" t="str">
        <f t="shared" ref="CI24:CI29" si="559">IF(CF24 = "", "", 24*(CF24-$L24))</f>
        <v/>
      </c>
      <c r="CJ24" s="12"/>
      <c r="CK24" s="12"/>
      <c r="CL24" s="61"/>
      <c r="CM24" s="62"/>
      <c r="CN24" s="41">
        <f t="shared" si="465"/>
        <v>96.611661617264673</v>
      </c>
      <c r="CO24" s="42">
        <f t="shared" si="466"/>
        <v>49.767823779686957</v>
      </c>
      <c r="CP24" s="42">
        <f t="shared" si="467"/>
        <v>38.241106081626583</v>
      </c>
      <c r="CQ24" s="42" t="str">
        <f t="shared" si="468"/>
        <v/>
      </c>
      <c r="CR24" s="42">
        <f t="shared" si="469"/>
        <v>0</v>
      </c>
      <c r="CS24" s="42">
        <f t="shared" si="470"/>
        <v>1.6816666667000391</v>
      </c>
      <c r="CT24" s="42">
        <f t="shared" si="471"/>
        <v>41.350833333330229</v>
      </c>
      <c r="CU24" s="42">
        <f t="shared" si="472"/>
        <v>88.48555555549683</v>
      </c>
      <c r="CV24" s="42" t="str">
        <f t="shared" si="473"/>
        <v/>
      </c>
      <c r="CW24" s="42">
        <f t="shared" si="474"/>
        <v>0</v>
      </c>
      <c r="CX24" s="75">
        <f t="array" ref="CX24:CY24">LOGEST(CN24:CP24,CS24:CU24,TRUE,TRUE)</f>
        <v>0.98953632073439823</v>
      </c>
      <c r="CY24" s="75">
        <v>90.179078679749352</v>
      </c>
      <c r="CZ24" s="76">
        <v>0</v>
      </c>
      <c r="DA24" s="2">
        <v>2</v>
      </c>
      <c r="DB24" s="2">
        <v>4</v>
      </c>
      <c r="DC24" s="2">
        <v>10</v>
      </c>
      <c r="DD24" s="2">
        <v>18</v>
      </c>
      <c r="DE24" s="2">
        <v>24</v>
      </c>
      <c r="DF24" s="2">
        <v>26</v>
      </c>
      <c r="DG24" s="2">
        <v>34</v>
      </c>
      <c r="DH24" s="2">
        <v>42</v>
      </c>
      <c r="DI24" s="2">
        <v>48</v>
      </c>
      <c r="DJ24" s="2">
        <v>50</v>
      </c>
      <c r="DK24" s="2">
        <v>58</v>
      </c>
      <c r="DL24" s="2">
        <v>66</v>
      </c>
      <c r="DM24" s="2">
        <v>74</v>
      </c>
      <c r="DN24" s="2">
        <f t="shared" si="475"/>
        <v>0.92778617363538129</v>
      </c>
      <c r="DO24" s="2">
        <f t="shared" si="476"/>
        <v>0.90847164173361616</v>
      </c>
      <c r="DP24" s="2">
        <f t="shared" si="477"/>
        <v>0.88955919724507737</v>
      </c>
      <c r="DQ24" s="2">
        <f t="shared" si="478"/>
        <v>0.83515154988704865</v>
      </c>
      <c r="DR24" s="2">
        <f t="shared" si="479"/>
        <v>0.76774890842795884</v>
      </c>
      <c r="DS24" s="2">
        <f t="shared" si="480"/>
        <v>0.72079148052588793</v>
      </c>
      <c r="DT24" s="2">
        <f t="shared" si="481"/>
        <v>0.70578613722508432</v>
      </c>
      <c r="DU24" s="2">
        <f t="shared" si="482"/>
        <v>0.64882420024417076</v>
      </c>
      <c r="DV24" s="2">
        <f t="shared" si="483"/>
        <v>0.59645949476652038</v>
      </c>
      <c r="DW24" s="2">
        <f t="shared" si="484"/>
        <v>0.55997855234570459</v>
      </c>
      <c r="DX24" s="2">
        <f t="shared" si="485"/>
        <v>0.54832099166962156</v>
      </c>
      <c r="DY24" s="2">
        <f t="shared" si="486"/>
        <v>0.50406760650737337</v>
      </c>
      <c r="DZ24" s="2">
        <f t="shared" si="487"/>
        <v>0.46338578276274511</v>
      </c>
      <c r="EA24" s="73">
        <f t="shared" si="488"/>
        <v>0.42598727014905102</v>
      </c>
      <c r="EB24" s="75">
        <f t="array" ref="EB24:EC24">LOGEST(DN24:EA24,CZ24:DM24,TRUE,TRUE)</f>
        <v>0.98953632073439823</v>
      </c>
      <c r="EC24" s="75">
        <v>0.92778617363538141</v>
      </c>
      <c r="ED24" s="2">
        <f t="shared" si="489"/>
        <v>1.0518808464208511E-2</v>
      </c>
      <c r="EE24" s="2">
        <f t="shared" si="490"/>
        <v>65.895978895181941</v>
      </c>
      <c r="EF24" s="17">
        <f t="shared" si="491"/>
        <v>88.202592222520579</v>
      </c>
      <c r="EG24" s="2">
        <f t="shared" si="492"/>
        <v>4.7840883506895743E-3</v>
      </c>
      <c r="EH24" s="2">
        <f t="shared" si="493"/>
        <v>6.1539893161026481E-4</v>
      </c>
      <c r="EI24" s="2">
        <f t="shared" si="494"/>
        <v>4.5155985454638394E-4</v>
      </c>
      <c r="EJ24" s="2" t="e">
        <f t="shared" si="495"/>
        <v>#VALUE!</v>
      </c>
      <c r="EK24" s="2">
        <f t="shared" si="496"/>
        <v>0</v>
      </c>
      <c r="EL24" s="12">
        <f t="shared" si="497"/>
        <v>1.3333333333139308</v>
      </c>
      <c r="EM24" s="12">
        <f t="shared" si="498"/>
        <v>40.916666666627862</v>
      </c>
      <c r="EN24" s="12">
        <f t="shared" si="499"/>
        <v>88.250000000058208</v>
      </c>
      <c r="EO24" s="12" t="str">
        <f t="shared" si="500"/>
        <v/>
      </c>
      <c r="EP24" s="12" t="str">
        <f t="shared" si="501"/>
        <v/>
      </c>
      <c r="EQ24" s="35">
        <f t="array" ref="EQ24:ER24">LOGEST(EG24:EI24, EL24:EN24, TRUE, TRUE)</f>
        <v>0.97385704364011372</v>
      </c>
      <c r="ER24" s="35">
        <v>3.4808245045896843E-3</v>
      </c>
      <c r="ES24" s="53">
        <v>0</v>
      </c>
      <c r="ET24" s="53">
        <v>2</v>
      </c>
      <c r="EU24" s="53">
        <v>4</v>
      </c>
      <c r="EV24" s="53">
        <v>10</v>
      </c>
      <c r="EW24" s="53">
        <v>18</v>
      </c>
      <c r="EX24" s="53">
        <v>24</v>
      </c>
      <c r="EY24" s="53">
        <v>26</v>
      </c>
      <c r="EZ24" s="53">
        <v>34</v>
      </c>
      <c r="FA24" s="53">
        <v>42</v>
      </c>
      <c r="FB24" s="53">
        <v>48</v>
      </c>
      <c r="FC24" s="53">
        <v>50</v>
      </c>
      <c r="FD24" s="53">
        <v>58</v>
      </c>
      <c r="FE24" s="53">
        <v>66</v>
      </c>
      <c r="FF24" s="53">
        <v>72</v>
      </c>
      <c r="FG24" s="53">
        <v>78</v>
      </c>
      <c r="FH24" s="53">
        <v>84</v>
      </c>
      <c r="FI24" s="53">
        <v>90</v>
      </c>
      <c r="FJ24" s="53">
        <v>96</v>
      </c>
      <c r="FK24" s="54">
        <f t="shared" si="502"/>
        <v>3.5811641630075161E-5</v>
      </c>
      <c r="FL24" s="54">
        <f t="shared" si="503"/>
        <v>3.3963672877160877E-5</v>
      </c>
      <c r="FM24" s="54">
        <f t="shared" si="504"/>
        <v>3.2211063855225239E-5</v>
      </c>
      <c r="FN24" s="54">
        <f t="shared" si="505"/>
        <v>2.7477443732475522E-5</v>
      </c>
      <c r="FO24" s="54">
        <f t="shared" si="506"/>
        <v>2.2229925391227944E-5</v>
      </c>
      <c r="FP24" s="54">
        <f t="shared" si="507"/>
        <v>1.8963096868205678E-5</v>
      </c>
      <c r="FQ24" s="54">
        <f t="shared" si="508"/>
        <v>1.7984554448036337E-5</v>
      </c>
      <c r="FR24" s="54">
        <f t="shared" si="509"/>
        <v>1.4549945310298549E-5</v>
      </c>
      <c r="FS24" s="54">
        <f t="shared" si="510"/>
        <v>1.1771262343159882E-5</v>
      </c>
      <c r="FT24" s="54">
        <f t="shared" si="511"/>
        <v>1.0041400686053868E-5</v>
      </c>
      <c r="FU24" s="54">
        <f t="shared" si="512"/>
        <v>9.5232397233423512E-6</v>
      </c>
      <c r="FV24" s="54">
        <f t="shared" si="513"/>
        <v>7.7045343298244993E-6</v>
      </c>
      <c r="FW24" s="54">
        <f t="shared" si="514"/>
        <v>6.2331570940031792E-6</v>
      </c>
      <c r="FX24" s="54">
        <f t="shared" si="515"/>
        <v>5.317155127068852E-6</v>
      </c>
      <c r="FY24" s="54">
        <f t="shared" si="516"/>
        <v>4.5357654586493174E-6</v>
      </c>
      <c r="FZ24" s="54">
        <f t="shared" si="517"/>
        <v>3.8692059577388072E-6</v>
      </c>
      <c r="GA24" s="54">
        <f t="shared" si="518"/>
        <v>3.3006016029452158E-6</v>
      </c>
      <c r="GB24" s="77">
        <f t="shared" si="519"/>
        <v>2.8155572642948816E-6</v>
      </c>
      <c r="GC24" s="75">
        <f t="array" ref="GC24:GD24">LOGEST(FK24:GB24, ES24:FJ24, TRUE, TRUE)</f>
        <v>0.97385704364011372</v>
      </c>
      <c r="GD24" s="75">
        <v>3.5811641630075026E-5</v>
      </c>
      <c r="GE24" s="2">
        <f t="shared" si="520"/>
        <v>2.6490758555146127E-2</v>
      </c>
      <c r="GF24" s="2">
        <f t="shared" si="521"/>
        <v>26.165622215649755</v>
      </c>
      <c r="GG24" s="2">
        <f>(GF24*DATA!$B$3)/(DATA!$B$3+GF24)</f>
        <v>23.036132502194658</v>
      </c>
      <c r="GH24" s="17">
        <f t="shared" si="522"/>
        <v>1.1901681848364291E-3</v>
      </c>
      <c r="GI24" s="96">
        <f>DATA!$B$6/DW24</f>
        <v>5.2859167330620087</v>
      </c>
      <c r="GJ24" s="96"/>
      <c r="GK24" s="2">
        <f>IF(G24&lt;F24, 0.0188*(G24^(-2/3)), 0.0188*F24^(-2/3))</f>
        <v>1.0656445723132072E-3</v>
      </c>
      <c r="GL24" s="2">
        <f>GK24*EF24 + GH24*DATA!$B$8</f>
        <v>0.22253077762821849</v>
      </c>
      <c r="GM24" s="96">
        <f>DATA!$B$7/GL24</f>
        <v>8.9875208333716152</v>
      </c>
      <c r="GN24" s="96"/>
      <c r="GO24" s="93">
        <f t="shared" si="524"/>
        <v>5.2859167330620087</v>
      </c>
      <c r="GP24" s="51">
        <f>ROUNDDOWN(GO24*27.027,0)</f>
        <v>142</v>
      </c>
      <c r="GQ24" s="93">
        <f>GM24</f>
        <v>8.9875208333716152</v>
      </c>
      <c r="GR24" s="51">
        <f t="shared" si="527"/>
        <v>242</v>
      </c>
      <c r="GS24" s="1">
        <v>19.7</v>
      </c>
      <c r="GT24" s="1">
        <v>182.19</v>
      </c>
      <c r="GU24" s="1">
        <v>4.53E-2</v>
      </c>
      <c r="GV24" s="57">
        <f t="shared" si="528"/>
        <v>45691.688125000001</v>
      </c>
      <c r="GW24" s="2">
        <f t="shared" si="236"/>
        <v>1.6816666667000391</v>
      </c>
      <c r="GX24" s="1">
        <f>42.5/2</f>
        <v>21.25</v>
      </c>
      <c r="GY24" s="2">
        <f t="shared" si="331"/>
        <v>5.024298401513672</v>
      </c>
      <c r="GZ24" s="2">
        <f t="shared" si="332"/>
        <v>712.71439449559443</v>
      </c>
      <c r="HA24" s="1">
        <v>80.5</v>
      </c>
      <c r="HB24" s="1">
        <v>253.7</v>
      </c>
      <c r="HC24" s="1">
        <v>0.11799999999999999</v>
      </c>
      <c r="HD24" s="57">
        <f t="shared" si="529"/>
        <v>45693.341006944444</v>
      </c>
      <c r="HE24" s="2">
        <f t="shared" si="530"/>
        <v>41.350833333330229</v>
      </c>
      <c r="HF24" s="1">
        <v>66.3</v>
      </c>
      <c r="HG24" s="1">
        <v>230.41</v>
      </c>
      <c r="HH24" s="1">
        <v>5.2499999999999998E-2</v>
      </c>
      <c r="HI24" s="57">
        <f t="shared" si="531"/>
        <v>45695.3049537037</v>
      </c>
      <c r="HJ24" s="2">
        <f t="shared" si="532"/>
        <v>88.48555555549683</v>
      </c>
      <c r="HK24" s="1"/>
      <c r="HL24" s="1"/>
      <c r="HM24" s="1"/>
      <c r="HN24" s="57">
        <f t="shared" si="533"/>
        <v>0</v>
      </c>
      <c r="HO24" s="2" t="str">
        <f t="shared" si="534"/>
        <v/>
      </c>
      <c r="HP24" s="1"/>
      <c r="HQ24" s="1"/>
      <c r="HR24" s="1"/>
      <c r="HS24" s="57">
        <f t="shared" si="535"/>
        <v>0</v>
      </c>
      <c r="HT24" s="2">
        <f t="shared" si="536"/>
        <v>0</v>
      </c>
      <c r="HU24" s="72">
        <f t="shared" si="537"/>
        <v>1.6816666667000391</v>
      </c>
      <c r="HV24" s="72">
        <f t="shared" si="538"/>
        <v>41.350833333330229</v>
      </c>
      <c r="HW24" s="72">
        <f t="shared" si="539"/>
        <v>88.48555555549683</v>
      </c>
      <c r="HX24" s="72" t="str">
        <f t="shared" si="540"/>
        <v/>
      </c>
      <c r="HY24" s="72">
        <f t="shared" si="541"/>
        <v>0</v>
      </c>
      <c r="HZ24" s="2">
        <f>(GS24-GU24)*GT24/GY24</f>
        <v>712.71439449559443</v>
      </c>
      <c r="IA24" s="2">
        <f>(HA24-HC24)*HB24/GY24</f>
        <v>4058.8579280753352</v>
      </c>
      <c r="IB24" s="2">
        <f t="shared" si="544"/>
        <v>3038.0533270876954</v>
      </c>
      <c r="IC24" s="2">
        <f t="shared" si="545"/>
        <v>0</v>
      </c>
      <c r="ID24" s="2">
        <f t="shared" si="546"/>
        <v>0</v>
      </c>
      <c r="IE24" s="14">
        <f>HZ24*EXP(DATA!$B$4*'Inputs-new'!HU24)</f>
        <v>721.04389412734952</v>
      </c>
      <c r="IF24" s="14">
        <f>IA24*EXP(DATA!$B$4*'Inputs-new'!HV24)</f>
        <v>5401.1371014305423</v>
      </c>
      <c r="IG24" s="14">
        <f>IB24*EXP(DATA!$B$4*'Inputs-new'!HW24)</f>
        <v>5599.0429368391988</v>
      </c>
      <c r="IH24" s="14" t="e">
        <f>IC24*EXP(DATA!$B$4*'Inputs-new'!HX24)</f>
        <v>#VALUE!</v>
      </c>
      <c r="II24" s="14">
        <f>ID24*EXP(DATA!$B$4*'Inputs-new'!HY24)</f>
        <v>0</v>
      </c>
      <c r="IJ24" s="2">
        <f t="array" ref="IJ24:IK24">LOGEST(IF24:IG24, HV24:HW24, TRUE, FALSE)</f>
        <v>1.0007637663345799</v>
      </c>
      <c r="IK24" s="2">
        <v>5233.2849895315021</v>
      </c>
      <c r="IL24" s="2">
        <f>IF(IK24="","",-LN(IJ24))</f>
        <v>-7.6347481349949172E-4</v>
      </c>
      <c r="IM24" s="2">
        <f t="shared" ref="IM24:IM29" si="560">LN(2)/IL24</f>
        <v>-907.88480288276958</v>
      </c>
      <c r="IN24" s="2">
        <f>(IM24*DATA!$B$3)/(DATA!$B$3+'Inputs-new'!IM24)</f>
        <v>244.46785898883059</v>
      </c>
      <c r="IO24" s="2">
        <f t="shared" si="547"/>
        <v>5233.2849895315021</v>
      </c>
      <c r="IP24" s="2">
        <f t="shared" si="548"/>
        <v>53.841417843973083</v>
      </c>
      <c r="IQ24" s="2">
        <f t="shared" si="549"/>
        <v>352.69256781992829</v>
      </c>
      <c r="IR24" s="2">
        <f t="shared" si="550"/>
        <v>18.989467914456576</v>
      </c>
      <c r="IS24" s="2">
        <f t="shared" si="551"/>
        <v>115.00368034751793</v>
      </c>
      <c r="IT24" s="63">
        <f t="shared" si="552"/>
        <v>2183.8586980036121</v>
      </c>
      <c r="IU24" s="2">
        <f t="shared" si="553"/>
        <v>2.1838586980036121</v>
      </c>
      <c r="IV24" s="72">
        <f t="shared" si="554"/>
        <v>3.6632406699724888E-2</v>
      </c>
    </row>
    <row r="25" spans="1:256" ht="15.75" thickBot="1" x14ac:dyDescent="0.3">
      <c r="A25" s="1">
        <v>24</v>
      </c>
      <c r="B25" s="1"/>
      <c r="C25" s="1" t="s">
        <v>160</v>
      </c>
      <c r="D25" s="92"/>
      <c r="E25" s="1">
        <v>171</v>
      </c>
      <c r="F25" s="1">
        <v>74.099999999999994</v>
      </c>
      <c r="G25" s="2">
        <f>IF(C25 = "M", 65.76+(1.452*(E25-152)), 62.34+(1.247*(E25-152)))</f>
        <v>86.033000000000001</v>
      </c>
      <c r="H25" s="1">
        <v>68.099999999999994</v>
      </c>
      <c r="I25" s="63">
        <f>Z25*EXP(DATA!$B$4*Y25)</f>
        <v>97.198127372815961</v>
      </c>
      <c r="J25" s="63">
        <f>AA25*EXP(DATA!$B$5*'Inputs-new'!Y25)</f>
        <v>97.198127372815975</v>
      </c>
      <c r="K25" s="1"/>
      <c r="L25" s="48">
        <v>45691.618055555555</v>
      </c>
      <c r="M25" s="48">
        <v>45691.652083333334</v>
      </c>
      <c r="N25" s="1">
        <v>10.28</v>
      </c>
      <c r="O25" s="48">
        <v>45700.724999999999</v>
      </c>
      <c r="P25" s="1">
        <v>200</v>
      </c>
      <c r="Q25" s="1">
        <v>53157.66</v>
      </c>
      <c r="R25" s="1">
        <v>11.6875</v>
      </c>
      <c r="S25" s="2">
        <f t="shared" ref="S25" si="561">N25/P25</f>
        <v>5.1399999999999994E-2</v>
      </c>
      <c r="T25" s="13">
        <f>Q25*EXP((O25-M25)*24*DATA!$B$4)</f>
        <v>239313.8229024387</v>
      </c>
      <c r="U25" s="20">
        <f t="shared" ref="U25" si="562">T25/S25</f>
        <v>4655910.9514093138</v>
      </c>
      <c r="V25" s="48">
        <v>45691.688125000001</v>
      </c>
      <c r="W25" s="1">
        <v>478.9</v>
      </c>
      <c r="X25" s="1">
        <v>200616.61</v>
      </c>
      <c r="Y25" s="19">
        <f t="shared" ref="Y25" si="563">IF(V25="","",(V25-$L25)*24)</f>
        <v>1.6816666667000391</v>
      </c>
      <c r="Z25" s="19">
        <f t="shared" ref="Z25" si="564">IF(W25 = "", "", W25*X25/1000000)</f>
        <v>96.07529452899999</v>
      </c>
      <c r="AA25" s="17">
        <f>IF(Z25 = "", "", Z25*EXP(Y25*DATA!$B$4)*EXP(-DATA!$B$5*'Inputs-new'!Y25))</f>
        <v>96.611661617264673</v>
      </c>
      <c r="AB25" s="48">
        <v>45693.341006944444</v>
      </c>
      <c r="AC25" s="1">
        <v>205.1</v>
      </c>
      <c r="AD25" s="1">
        <v>211607.26</v>
      </c>
      <c r="AE25" s="19">
        <f t="shared" ref="AE25" si="565">IF(AB25="","",(AB25-$L25)*24)</f>
        <v>41.350833333330229</v>
      </c>
      <c r="AF25" s="19">
        <f t="shared" ref="AF25" si="566">IF(AC25 = "", "", AC25*AD25/1000000)</f>
        <v>43.400649026000004</v>
      </c>
      <c r="AG25" s="17">
        <f>IF(AF25 = "", "", AF25*EXP(AE25*DATA!$B$4)*EXP(-DATA!$B$5*'Inputs-new'!AE25))</f>
        <v>49.767823779686957</v>
      </c>
      <c r="AH25" s="48">
        <v>45695.3049537037</v>
      </c>
      <c r="AI25" s="1">
        <v>137</v>
      </c>
      <c r="AJ25" s="1">
        <v>208252.01</v>
      </c>
      <c r="AK25" s="19">
        <f t="shared" ref="AK25" si="567">IF(AH25="","",(AH25-$L25)*24)</f>
        <v>88.48555555549683</v>
      </c>
      <c r="AL25" s="19">
        <f t="shared" ref="AL25" si="568">IF(AI25 = "", "", AI25*AJ25/1000000)</f>
        <v>28.530525369999999</v>
      </c>
      <c r="AM25" s="17">
        <f>IF(AL25 = "", "", AL25*EXP(AK25*DATA!$B$4)*EXP(-DATA!$B$5*'Inputs-new'!AK25))</f>
        <v>38.241106081626583</v>
      </c>
      <c r="AN25" s="48"/>
      <c r="AO25" s="1"/>
      <c r="AP25" s="1"/>
      <c r="AQ25" s="19" t="str">
        <f t="shared" ref="AQ25" si="569">IF(AN25="","",(AN25-$L25)*24)</f>
        <v/>
      </c>
      <c r="AR25" s="19" t="str">
        <f t="shared" ref="AR25" si="570">IF(AO25 = "", "", AO25*AP25/1000000)</f>
        <v/>
      </c>
      <c r="AS25" s="17" t="str">
        <f>IF(AR25 = "", "", AR25*EXP(AQ25*DATA!$B$4)*EXP(-DATA!$B$5*'Inputs-new'!AQ25))</f>
        <v/>
      </c>
      <c r="AT25" s="1"/>
      <c r="AU25" s="1"/>
      <c r="AV25" s="1"/>
      <c r="AW25" s="19"/>
      <c r="AX25" s="19"/>
      <c r="AY25" s="17"/>
      <c r="AZ25" s="80">
        <v>45691.673611111109</v>
      </c>
      <c r="BA25" s="80">
        <v>45700.704861111109</v>
      </c>
      <c r="BB25" s="1">
        <v>4960.0450000000001</v>
      </c>
      <c r="BC25" s="63">
        <f t="shared" ref="BC25" si="571">IF(AZ25 = "", "", 24*(AZ25-$L25))</f>
        <v>1.3333333333139308</v>
      </c>
      <c r="BD25" s="12">
        <f>IF(BB25 = "", "", BB25*EXP(DATA!$B$4*(BA25-AZ25)*24))</f>
        <v>22176.185630638905</v>
      </c>
      <c r="BE25" s="12">
        <f>IF(BD25 = "", "", BD25*EXP(BC25*DATA!$B$4)*EXP(-BC25*DATA!$B$5))</f>
        <v>22274.289344485311</v>
      </c>
      <c r="BF25" s="14">
        <f t="shared" ref="BF25" si="572">BD25*$S25/$T25</f>
        <v>4.7630175624227347E-3</v>
      </c>
      <c r="BG25" s="14">
        <f t="shared" ref="BG25" si="573">BE25*$S25/$T25</f>
        <v>4.7840883506895743E-3</v>
      </c>
      <c r="BH25" s="16">
        <v>45693.322916666664</v>
      </c>
      <c r="BI25" s="16">
        <v>45700.710416666669</v>
      </c>
      <c r="BJ25" s="1">
        <v>735.03750000000002</v>
      </c>
      <c r="BK25" s="63">
        <f t="shared" ref="BK25" si="574">IF(BH25 = "", "", 24*(BH25-$L25))</f>
        <v>40.916666666627862</v>
      </c>
      <c r="BL25" s="12">
        <f>IF(BJ25 = "", "", BJ25*EXP(DATA!$B$4*(BI25-BH25)*24))</f>
        <v>2502.2644325591541</v>
      </c>
      <c r="BM25" s="12">
        <f>IF(BL25 = "", "", BL25*EXP(BK25*DATA!$B$4)*EXP(-BK25*DATA!$B$5))</f>
        <v>2865.242625169823</v>
      </c>
      <c r="BN25" s="14">
        <f t="shared" ref="BN25" si="575">BL25*$S25/$T25</f>
        <v>5.3743820675988992E-4</v>
      </c>
      <c r="BO25" s="14">
        <f t="shared" ref="BO25" si="576">BM25*($S25/$T25)</f>
        <v>6.1539893161026481E-4</v>
      </c>
      <c r="BP25" s="16">
        <v>45695.295138888891</v>
      </c>
      <c r="BQ25" s="16">
        <v>45700.716666666667</v>
      </c>
      <c r="BR25" s="1">
        <v>638.84749999999997</v>
      </c>
      <c r="BS25" s="2">
        <f t="shared" ref="BS25" si="577">IF(BP25 = "", "", 24*(BP25-$L25))</f>
        <v>88.250000000058208</v>
      </c>
      <c r="BT25" s="12">
        <f>IF(BR25 = "", "", BR25*EXP(DATA!$B$4*(BQ25-BP25)*24))</f>
        <v>1569.7770849645808</v>
      </c>
      <c r="BU25" s="12">
        <f>IF(BT25 = "", "", BT25*EXP(BS25*DATA!$B$4)*EXP(-BS25*DATA!$B$5))</f>
        <v>2102.4224719993058</v>
      </c>
      <c r="BV25" s="14">
        <f t="shared" ref="BV25" si="578">BT25*$S25/$T25</f>
        <v>3.3715788410631424E-4</v>
      </c>
      <c r="BW25" s="2">
        <f t="shared" ref="BW25" si="579">BU25*$S25/$T25</f>
        <v>4.5155985454638394E-4</v>
      </c>
      <c r="BX25" s="16"/>
      <c r="BY25" s="16"/>
      <c r="BZ25" s="1"/>
      <c r="CA25" s="12" t="str">
        <f t="shared" ref="CA25" si="580">IF(BX25 = "", "", 24*(BX25-$L25))</f>
        <v/>
      </c>
      <c r="CB25" s="12" t="str">
        <f>IF(BZ25 = "", "", BZ25*EXP(DATA!$B$4*(BY25-BX25)*24))</f>
        <v/>
      </c>
      <c r="CC25" s="12" t="str">
        <f>IF(CB25 = "", "", CB25*EXP(CA25*DATA!$B$4)*EXP(-CA25*DATA!$B$5))</f>
        <v/>
      </c>
      <c r="CD25" s="14" t="e">
        <f t="shared" ref="CD25" si="581">CB25*$S25/$T25</f>
        <v>#VALUE!</v>
      </c>
      <c r="CE25" s="60" t="e">
        <f t="shared" ref="CE25" si="582">CC25*($S25/$T25)</f>
        <v>#VALUE!</v>
      </c>
      <c r="CF25" s="16"/>
      <c r="CG25" s="16"/>
      <c r="CH25" s="1"/>
      <c r="CI25" s="12" t="str">
        <f t="shared" ref="CI25" si="583">IF(CF25 = "", "", 24*(CF25-$L25))</f>
        <v/>
      </c>
      <c r="CJ25" s="12"/>
      <c r="CK25" s="12"/>
      <c r="CL25" s="61"/>
      <c r="CM25" s="62"/>
      <c r="CN25" s="41">
        <f t="shared" ref="CN25" si="584">AA25</f>
        <v>96.611661617264673</v>
      </c>
      <c r="CO25" s="42">
        <f t="shared" ref="CO25" si="585">AG25</f>
        <v>49.767823779686957</v>
      </c>
      <c r="CP25" s="42">
        <f t="shared" ref="CP25" si="586">AM25</f>
        <v>38.241106081626583</v>
      </c>
      <c r="CQ25" s="42" t="str">
        <f t="shared" ref="CQ25" si="587">AS25</f>
        <v/>
      </c>
      <c r="CR25" s="42">
        <f t="shared" ref="CR25" si="588">AY25</f>
        <v>0</v>
      </c>
      <c r="CS25" s="42">
        <f t="shared" ref="CS25" si="589">Y25</f>
        <v>1.6816666667000391</v>
      </c>
      <c r="CT25" s="42">
        <f t="shared" ref="CT25" si="590">AE25</f>
        <v>41.350833333330229</v>
      </c>
      <c r="CU25" s="42">
        <f t="shared" ref="CU25" si="591">AK25</f>
        <v>88.48555555549683</v>
      </c>
      <c r="CV25" s="42" t="str">
        <f t="shared" ref="CV25" si="592">AQ25</f>
        <v/>
      </c>
      <c r="CW25" s="42">
        <f t="shared" ref="CW25" si="593">AW25</f>
        <v>0</v>
      </c>
      <c r="CX25" s="75">
        <f t="array" ref="CX25:CY25">LOGEST(CN25:CP25,CS25:CU25,TRUE,TRUE)</f>
        <v>0.98953632073439823</v>
      </c>
      <c r="CY25" s="75">
        <v>90.179078679749352</v>
      </c>
      <c r="CZ25" s="76">
        <v>0</v>
      </c>
      <c r="DA25" s="2">
        <v>2</v>
      </c>
      <c r="DB25" s="2">
        <v>4</v>
      </c>
      <c r="DC25" s="2">
        <v>10</v>
      </c>
      <c r="DD25" s="2">
        <v>18</v>
      </c>
      <c r="DE25" s="2">
        <v>24</v>
      </c>
      <c r="DF25" s="2">
        <v>26</v>
      </c>
      <c r="DG25" s="2">
        <v>34</v>
      </c>
      <c r="DH25" s="2">
        <v>42</v>
      </c>
      <c r="DI25" s="2">
        <v>48</v>
      </c>
      <c r="DJ25" s="2">
        <v>50</v>
      </c>
      <c r="DK25" s="2">
        <v>58</v>
      </c>
      <c r="DL25" s="2">
        <v>66</v>
      </c>
      <c r="DM25" s="2">
        <v>74</v>
      </c>
      <c r="DN25" s="2">
        <f t="shared" ref="DN25" si="594">($CY25*$CX25^CZ25)/$J25</f>
        <v>0.92778617363538129</v>
      </c>
      <c r="DO25" s="2">
        <f t="shared" ref="DO25" si="595">($CY25*$CX25^DA25)/$J25</f>
        <v>0.90847164173361616</v>
      </c>
      <c r="DP25" s="2">
        <f t="shared" ref="DP25" si="596">($CY25*$CX25^DB25)/$J25</f>
        <v>0.88955919724507737</v>
      </c>
      <c r="DQ25" s="2">
        <f t="shared" ref="DQ25" si="597">($CY25*$CX25^DC25)/$J25</f>
        <v>0.83515154988704865</v>
      </c>
      <c r="DR25" s="2">
        <f t="shared" ref="DR25" si="598">($CY25*$CX25^DD25)/$J25</f>
        <v>0.76774890842795884</v>
      </c>
      <c r="DS25" s="2">
        <f t="shared" ref="DS25" si="599">($CY25*$CX25^DE25)/$J25</f>
        <v>0.72079148052588793</v>
      </c>
      <c r="DT25" s="2">
        <f t="shared" ref="DT25" si="600">($CY25*$CX25^DF25)/$J25</f>
        <v>0.70578613722508432</v>
      </c>
      <c r="DU25" s="2">
        <f t="shared" ref="DU25" si="601">($CY25*$CX25^DG25)/$J25</f>
        <v>0.64882420024417076</v>
      </c>
      <c r="DV25" s="2">
        <f t="shared" ref="DV25" si="602">($CY25*$CX25^DH25)/$J25</f>
        <v>0.59645949476652038</v>
      </c>
      <c r="DW25" s="2">
        <f t="shared" ref="DW25" si="603">($CY25*$CX25^DI25)/$J25</f>
        <v>0.55997855234570459</v>
      </c>
      <c r="DX25" s="2">
        <f t="shared" ref="DX25" si="604">($CY25*$CX25^DJ25)/$J25</f>
        <v>0.54832099166962156</v>
      </c>
      <c r="DY25" s="2">
        <f t="shared" ref="DY25" si="605">($CY25*$CX25^DK25)/$J25</f>
        <v>0.50406760650737337</v>
      </c>
      <c r="DZ25" s="2">
        <f t="shared" ref="DZ25" si="606">($CY25*$CX25^DL25)/$J25</f>
        <v>0.46338578276274511</v>
      </c>
      <c r="EA25" s="73">
        <f t="shared" ref="EA25" si="607">($CY25*$CX25^DM25)/$J25</f>
        <v>0.42598727014905102</v>
      </c>
      <c r="EB25" s="75">
        <f t="array" ref="EB25:EC25">LOGEST(DN25:EA25,CZ25:DM25,TRUE,TRUE)</f>
        <v>0.98953632073439823</v>
      </c>
      <c r="EC25" s="75">
        <v>0.92778617363538141</v>
      </c>
      <c r="ED25" s="2">
        <f t="shared" ref="ED25" si="608">-LN(DW25/DN25)/DI25</f>
        <v>1.0518808464208511E-2</v>
      </c>
      <c r="EE25" s="2">
        <f t="shared" ref="EE25" si="609">LN(2)/ED25</f>
        <v>65.895978895181941</v>
      </c>
      <c r="EF25" s="17">
        <f t="shared" ref="EF25" si="610">(EC25*EE25)/LN(2)</f>
        <v>88.202592222520579</v>
      </c>
      <c r="EG25" s="2">
        <f t="shared" ref="EG25" si="611">BG25</f>
        <v>4.7840883506895743E-3</v>
      </c>
      <c r="EH25" s="2">
        <f t="shared" ref="EH25" si="612">BO25</f>
        <v>6.1539893161026481E-4</v>
      </c>
      <c r="EI25" s="2">
        <f t="shared" ref="EI25" si="613">BW25</f>
        <v>4.5155985454638394E-4</v>
      </c>
      <c r="EJ25" s="2" t="e">
        <f t="shared" ref="EJ25" si="614">CE25</f>
        <v>#VALUE!</v>
      </c>
      <c r="EK25" s="2">
        <f t="shared" ref="EK25" si="615">CM25</f>
        <v>0</v>
      </c>
      <c r="EL25" s="12">
        <f t="shared" ref="EL25" si="616">BC25</f>
        <v>1.3333333333139308</v>
      </c>
      <c r="EM25" s="12">
        <f t="shared" ref="EM25" si="617">BK25</f>
        <v>40.916666666627862</v>
      </c>
      <c r="EN25" s="12">
        <f t="shared" ref="EN25" si="618">BS25</f>
        <v>88.250000000058208</v>
      </c>
      <c r="EO25" s="12" t="str">
        <f t="shared" ref="EO25" si="619">CA25</f>
        <v/>
      </c>
      <c r="EP25" s="12" t="str">
        <f t="shared" ref="EP25" si="620">CI25</f>
        <v/>
      </c>
      <c r="EQ25" s="35">
        <f t="array" ref="EQ25:ER25">LOGEST(EG25:EI25, EL25:EN25, TRUE, TRUE)</f>
        <v>0.97385704364011372</v>
      </c>
      <c r="ER25" s="35">
        <v>3.4808245045896843E-3</v>
      </c>
      <c r="ES25" s="53">
        <v>0</v>
      </c>
      <c r="ET25" s="53">
        <v>2</v>
      </c>
      <c r="EU25" s="53">
        <v>4</v>
      </c>
      <c r="EV25" s="53">
        <v>10</v>
      </c>
      <c r="EW25" s="53">
        <v>18</v>
      </c>
      <c r="EX25" s="53">
        <v>24</v>
      </c>
      <c r="EY25" s="53">
        <v>26</v>
      </c>
      <c r="EZ25" s="53">
        <v>34</v>
      </c>
      <c r="FA25" s="53">
        <v>42</v>
      </c>
      <c r="FB25" s="53">
        <v>48</v>
      </c>
      <c r="FC25" s="53">
        <v>50</v>
      </c>
      <c r="FD25" s="53">
        <v>58</v>
      </c>
      <c r="FE25" s="53">
        <v>66</v>
      </c>
      <c r="FF25" s="53">
        <v>72</v>
      </c>
      <c r="FG25" s="53">
        <v>78</v>
      </c>
      <c r="FH25" s="53">
        <v>84</v>
      </c>
      <c r="FI25" s="53">
        <v>90</v>
      </c>
      <c r="FJ25" s="53">
        <v>96</v>
      </c>
      <c r="FK25" s="54">
        <f t="shared" ref="FK25" si="621">($ER25*$EQ25^ES25)/$I25</f>
        <v>3.5811641630075161E-5</v>
      </c>
      <c r="FL25" s="54">
        <f t="shared" ref="FL25" si="622">($ER25*$EQ25^ET25)/$I25</f>
        <v>3.3963672877160877E-5</v>
      </c>
      <c r="FM25" s="54">
        <f t="shared" ref="FM25" si="623">($ER25*$EQ25^EU25)/$I25</f>
        <v>3.2211063855225239E-5</v>
      </c>
      <c r="FN25" s="54">
        <f t="shared" ref="FN25" si="624">($ER25*$EQ25^EV25)/$I25</f>
        <v>2.7477443732475522E-5</v>
      </c>
      <c r="FO25" s="54">
        <f t="shared" ref="FO25" si="625">($ER25*$EQ25^EW25)/$I25</f>
        <v>2.2229925391227944E-5</v>
      </c>
      <c r="FP25" s="54">
        <f t="shared" ref="FP25" si="626">($ER25*$EQ25^EX25)/$I25</f>
        <v>1.8963096868205678E-5</v>
      </c>
      <c r="FQ25" s="54">
        <f t="shared" ref="FQ25" si="627">($ER25*$EQ25^EY25)/$I25</f>
        <v>1.7984554448036337E-5</v>
      </c>
      <c r="FR25" s="54">
        <f t="shared" ref="FR25" si="628">($ER25*$EQ25^EZ25)/$I25</f>
        <v>1.4549945310298549E-5</v>
      </c>
      <c r="FS25" s="54">
        <f t="shared" ref="FS25" si="629">($ER25*$EQ25^FA25)/$I25</f>
        <v>1.1771262343159882E-5</v>
      </c>
      <c r="FT25" s="54">
        <f t="shared" ref="FT25" si="630">($ER25*$EQ25^FB25)/$I25</f>
        <v>1.0041400686053868E-5</v>
      </c>
      <c r="FU25" s="54">
        <f t="shared" ref="FU25" si="631">($ER25*$EQ25^FC25)/$I25</f>
        <v>9.5232397233423512E-6</v>
      </c>
      <c r="FV25" s="54">
        <f t="shared" ref="FV25" si="632">($ER25*$EQ25^FD25)/$I25</f>
        <v>7.7045343298244993E-6</v>
      </c>
      <c r="FW25" s="54">
        <f t="shared" ref="FW25" si="633">($ER25*$EQ25^FE25)/$I25</f>
        <v>6.2331570940031792E-6</v>
      </c>
      <c r="FX25" s="54">
        <f t="shared" ref="FX25" si="634">($ER25*$EQ25^FF25)/$I25</f>
        <v>5.317155127068852E-6</v>
      </c>
      <c r="FY25" s="54">
        <f t="shared" ref="FY25" si="635">($ER25*$EQ25^FG25)/$I25</f>
        <v>4.5357654586493174E-6</v>
      </c>
      <c r="FZ25" s="54">
        <f t="shared" ref="FZ25" si="636">($ER25*$EQ25^FH25)/$I25</f>
        <v>3.8692059577388072E-6</v>
      </c>
      <c r="GA25" s="54">
        <f t="shared" ref="GA25" si="637">($ER25*$EQ25^FI25)/$I25</f>
        <v>3.3006016029452158E-6</v>
      </c>
      <c r="GB25" s="77">
        <f t="shared" ref="GB25" si="638">($ER25*$EQ25^FJ25)/$I25</f>
        <v>2.8155572642948816E-6</v>
      </c>
      <c r="GC25" s="75">
        <f t="array" ref="GC25:GD25">LOGEST(FK25:GB25, ES25:FJ25, TRUE, TRUE)</f>
        <v>0.97385704364011372</v>
      </c>
      <c r="GD25" s="75">
        <v>3.5811641630075026E-5</v>
      </c>
      <c r="GE25" s="2">
        <f t="shared" ref="GE25" si="639">-LN(FT25/FK25)/FB25</f>
        <v>2.6490758555146127E-2</v>
      </c>
      <c r="GF25" s="2">
        <f t="shared" ref="GF25" si="640">LN(2)/GE25</f>
        <v>26.165622215649755</v>
      </c>
      <c r="GG25" s="2">
        <f>(GF25*DATA!$B$3)/(DATA!$B$3+GF25)</f>
        <v>23.036132502194658</v>
      </c>
      <c r="GH25" s="17">
        <f t="shared" ref="GH25" si="641">(GG25*GD25)/LN(2)</f>
        <v>1.1901681848364291E-3</v>
      </c>
      <c r="GI25" s="96">
        <f>DATA!$B$6/DW25</f>
        <v>5.2859167330620087</v>
      </c>
      <c r="GJ25" s="96"/>
      <c r="GK25" s="2">
        <f>IF(G25&lt;F25, 0.0188*(G25^(-2/3)), 0.0188*F25^(-2/3))</f>
        <v>1.0656445723132072E-3</v>
      </c>
      <c r="GL25" s="2">
        <f>GK25*EF25 + GH25*DATA!$B$8</f>
        <v>0.22253077762821849</v>
      </c>
      <c r="GM25" s="96">
        <f>DATA!$B$7/GL25</f>
        <v>8.9875208333716152</v>
      </c>
      <c r="GN25" s="96"/>
      <c r="GO25" s="93">
        <f t="shared" ref="GO25" si="642">GI25</f>
        <v>5.2859167330620087</v>
      </c>
      <c r="GP25" s="51">
        <f>ROUNDDOWN(GO25*27.027,0)</f>
        <v>142</v>
      </c>
      <c r="GQ25" s="93">
        <f>GM25</f>
        <v>8.9875208333716152</v>
      </c>
      <c r="GR25" s="51">
        <f t="shared" ref="GR25" si="643">ROUNDDOWN(GQ25 * 27.027,0)</f>
        <v>242</v>
      </c>
      <c r="GS25" s="1">
        <v>5.52</v>
      </c>
      <c r="GT25" s="1">
        <v>15.43</v>
      </c>
      <c r="GU25" s="1">
        <v>4.53E-2</v>
      </c>
      <c r="GV25" s="57">
        <f t="shared" ref="GV25" si="644">V25</f>
        <v>45691.688125000001</v>
      </c>
      <c r="GW25" s="2">
        <f t="shared" ref="GW25" si="645">Y25</f>
        <v>1.6816666667000391</v>
      </c>
      <c r="GX25" s="1">
        <f>18.9/2</f>
        <v>9.4499999999999993</v>
      </c>
      <c r="GY25" s="2">
        <f t="shared" ref="GY25" si="646">IF(GX25 = "", "", 0.001 * 4/3 *3.14159265*(GX25/2)^3)</f>
        <v>0.44186952226193432</v>
      </c>
      <c r="GZ25" s="2">
        <f t="shared" ref="GZ25" si="647">IF(GS25="","",((GS25-GU25)*GT25/GY25))</f>
        <v>191.17548675358643</v>
      </c>
      <c r="HA25" s="1">
        <v>71.900000000000006</v>
      </c>
      <c r="HB25" s="1">
        <v>288.48</v>
      </c>
      <c r="HC25" s="1">
        <v>0.11799999999999999</v>
      </c>
      <c r="HD25" s="57">
        <f t="shared" ref="HD25" si="648">AB25</f>
        <v>45693.341006944444</v>
      </c>
      <c r="HE25" s="2">
        <f t="shared" ref="HE25" si="649">AE25</f>
        <v>41.350833333330229</v>
      </c>
      <c r="HF25" s="1">
        <v>59.5</v>
      </c>
      <c r="HG25" s="1">
        <v>260.95999999999998</v>
      </c>
      <c r="HH25" s="1">
        <v>5.2499999999999998E-2</v>
      </c>
      <c r="HI25" s="57">
        <f t="shared" ref="HI25" si="650">AH25</f>
        <v>45695.3049537037</v>
      </c>
      <c r="HJ25" s="2">
        <f t="shared" ref="HJ25" si="651">AK25</f>
        <v>88.48555555549683</v>
      </c>
      <c r="HK25" s="1"/>
      <c r="HL25" s="1"/>
      <c r="HM25" s="1"/>
      <c r="HN25" s="57">
        <f t="shared" ref="HN25" si="652">AN25</f>
        <v>0</v>
      </c>
      <c r="HO25" s="2" t="str">
        <f t="shared" ref="HO25" si="653">AQ25</f>
        <v/>
      </c>
      <c r="HP25" s="1"/>
      <c r="HQ25" s="1"/>
      <c r="HR25" s="1"/>
      <c r="HS25" s="57">
        <f t="shared" ref="HS25" si="654">AT25</f>
        <v>0</v>
      </c>
      <c r="HT25" s="2">
        <f t="shared" ref="HT25" si="655">AW25</f>
        <v>0</v>
      </c>
      <c r="HU25" s="72">
        <f t="shared" ref="HU25" si="656">GW25</f>
        <v>1.6816666667000391</v>
      </c>
      <c r="HV25" s="72">
        <f t="shared" ref="HV25" si="657">HE25</f>
        <v>41.350833333330229</v>
      </c>
      <c r="HW25" s="72">
        <f t="shared" ref="HW25" si="658">HJ25</f>
        <v>88.48555555549683</v>
      </c>
      <c r="HX25" s="72" t="str">
        <f t="shared" ref="HX25" si="659">HO25</f>
        <v/>
      </c>
      <c r="HY25" s="72">
        <f t="shared" ref="HY25" si="660">HT25</f>
        <v>0</v>
      </c>
      <c r="HZ25" s="2">
        <f t="shared" ref="HZ25" si="661">(GS25-GU25)*GT25/GY25</f>
        <v>191.17548675358643</v>
      </c>
      <c r="IA25" s="2">
        <f t="shared" ref="IA25" si="662">(HA25-HC25)*HB25/GY25</f>
        <v>46863.769318139966</v>
      </c>
      <c r="IB25" s="2">
        <f t="shared" ref="IB25" si="663">(HF25-HH25)*HG25/GY25</f>
        <v>35108.598394808163</v>
      </c>
      <c r="IC25" s="2">
        <f t="shared" ref="IC25" si="664">(HK25-HM25)*HL25/$GY25</f>
        <v>0</v>
      </c>
      <c r="ID25" s="2">
        <f t="shared" ref="ID25" si="665">(HP25-HR25)*HQ25/$GY25</f>
        <v>0</v>
      </c>
      <c r="IE25" s="14">
        <f>HZ25*EXP(DATA!$B$4*'Inputs-new'!HU25)</f>
        <v>193.40975641168919</v>
      </c>
      <c r="IF25" s="14">
        <f>IA25*EXP(DATA!$B$4*'Inputs-new'!HV25)</f>
        <v>62361.789365983946</v>
      </c>
      <c r="IG25" s="14">
        <f>IB25*EXP(DATA!$B$4*'Inputs-new'!HW25)</f>
        <v>64704.114345883703</v>
      </c>
      <c r="IH25" s="14" t="e">
        <f>IC25*EXP(DATA!$B$4*'Inputs-new'!HX25)</f>
        <v>#VALUE!</v>
      </c>
      <c r="II25" s="14">
        <f>ID25*EXP(DATA!$B$4*'Inputs-new'!HY25)</f>
        <v>0</v>
      </c>
      <c r="IJ25" s="2">
        <f t="array" ref="IJ25:IK25">LOGEST(IF25:IG25, HV25:HW25, TRUE, FALSE)</f>
        <v>1.0007825754913859</v>
      </c>
      <c r="IK25" s="2">
        <v>60376.819292082015</v>
      </c>
      <c r="IL25" s="2">
        <f>IF(IK25="","",-LN(IJ25))</f>
        <v>-7.8226943884848179E-4</v>
      </c>
      <c r="IM25" s="2">
        <f t="shared" ref="IM25" si="666">LN(2)/IL25</f>
        <v>-886.07217173186973</v>
      </c>
      <c r="IN25" s="2">
        <f>(IM25*DATA!$B$3)/(DATA!$B$3+'Inputs-new'!IM25)</f>
        <v>246.09918271391879</v>
      </c>
      <c r="IO25" s="2">
        <f t="shared" ref="IO25" si="667">IK25</f>
        <v>60376.819292082015</v>
      </c>
      <c r="IP25" s="2">
        <f t="shared" ref="IP25" si="668">IO25/I25</f>
        <v>621.17265963879049</v>
      </c>
      <c r="IQ25" s="2">
        <f t="shared" ref="IQ25" si="669">IN25/LN(2)</f>
        <v>355.04607046819757</v>
      </c>
      <c r="IR25" s="2">
        <f t="shared" ref="IR25" si="670">IQ25*IP25/1000</f>
        <v>220.54491188703173</v>
      </c>
      <c r="IS25" s="2">
        <f t="shared" ref="IS25" si="671">110.01*(GY25^0.0275)</f>
        <v>107.56667664771457</v>
      </c>
      <c r="IT25" s="63">
        <f t="shared" ref="IT25" si="672">IS25*IR25</f>
        <v>23723.283223251045</v>
      </c>
      <c r="IU25" s="2">
        <f t="shared" ref="IU25" si="673">IT25/1000</f>
        <v>23.723283223251045</v>
      </c>
      <c r="IV25" s="72">
        <f t="shared" ref="IV25" si="674">(80/IU25)/1000</f>
        <v>3.3722145137816541E-3</v>
      </c>
    </row>
    <row r="26" spans="1:256" ht="15.75" thickBot="1" x14ac:dyDescent="0.3">
      <c r="A26" s="1">
        <v>25</v>
      </c>
      <c r="B26" s="1"/>
      <c r="C26" s="1" t="s">
        <v>160</v>
      </c>
      <c r="D26" s="46"/>
      <c r="E26" s="1">
        <v>161</v>
      </c>
      <c r="F26" s="1">
        <v>50</v>
      </c>
      <c r="G26" s="2">
        <f>IF(C26 = "M", 65.76+(1.452*(E26-152)), 62.34+(1.247*(E26-152)))</f>
        <v>73.563000000000002</v>
      </c>
      <c r="H26" s="1">
        <v>43.37</v>
      </c>
      <c r="I26" s="63">
        <f>Z26*EXP(DATA!$B$4*Y26)</f>
        <v>35.754930798412147</v>
      </c>
      <c r="J26" s="63">
        <f>AA26*EXP(DATA!$B$5*'Inputs-new'!Y26)</f>
        <v>35.754930798412147</v>
      </c>
      <c r="K26" s="1"/>
      <c r="L26" s="48">
        <v>45831.614583333336</v>
      </c>
      <c r="M26" s="48">
        <v>45831.683333333334</v>
      </c>
      <c r="N26" s="1">
        <v>27.58</v>
      </c>
      <c r="O26" s="48">
        <v>45854.583333333336</v>
      </c>
      <c r="P26" s="1">
        <v>200</v>
      </c>
      <c r="Q26" s="1">
        <v>7199.05</v>
      </c>
      <c r="R26" s="1">
        <v>2.08</v>
      </c>
      <c r="S26" s="2">
        <f t="shared" si="447"/>
        <v>0.13789999999999999</v>
      </c>
      <c r="T26" s="13">
        <f>Q26*EXP((O26-M26)*24*DATA!$B$4)</f>
        <v>320965.72584507649</v>
      </c>
      <c r="U26" s="20">
        <f t="shared" si="448"/>
        <v>2327525.2055480531</v>
      </c>
      <c r="V26" s="48">
        <v>45831.703310185185</v>
      </c>
      <c r="W26" s="1">
        <v>231.2</v>
      </c>
      <c r="X26" s="1">
        <v>152390.64000000001</v>
      </c>
      <c r="Y26" s="19">
        <f t="shared" si="555"/>
        <v>2.129444444377441</v>
      </c>
      <c r="Z26" s="19">
        <f>IF(W26 = "", "", W26*X26/1000000)</f>
        <v>35.232715968000001</v>
      </c>
      <c r="AA26" s="17">
        <f>IF(Z26 = "", "", Z26*EXP(Y26*DATA!$B$4)*EXP(-DATA!$B$5*'Inputs-new'!Y26))</f>
        <v>35.481971699870364</v>
      </c>
      <c r="AB26" s="48">
        <v>45833.320439814815</v>
      </c>
      <c r="AC26" s="1">
        <v>76.3</v>
      </c>
      <c r="AD26" s="1">
        <v>165802.96</v>
      </c>
      <c r="AE26" s="19">
        <f t="shared" si="557"/>
        <v>40.940555555513129</v>
      </c>
      <c r="AF26" s="19">
        <f t="shared" si="558"/>
        <v>12.650765847999999</v>
      </c>
      <c r="AG26" s="17">
        <f>IF(AF26 = "", "", AF26*EXP(AE26*DATA!$B$4)*EXP(-DATA!$B$5*'Inputs-new'!AE26))</f>
        <v>14.487030165056924</v>
      </c>
      <c r="AH26" s="48">
        <v>45835.302384259259</v>
      </c>
      <c r="AI26" s="1">
        <v>17.3</v>
      </c>
      <c r="AJ26" s="1">
        <v>151159.98000000001</v>
      </c>
      <c r="AK26" s="19">
        <f t="shared" si="449"/>
        <v>88.507222222164273</v>
      </c>
      <c r="AL26" s="19">
        <f t="shared" si="450"/>
        <v>2.6150676540000002</v>
      </c>
      <c r="AM26" s="17">
        <f>IF(AL26 = "", "", AL26*EXP(AK26*DATA!$B$4)*EXP(-DATA!$B$5*'Inputs-new'!AK26))</f>
        <v>3.5053771923534889</v>
      </c>
      <c r="AN26" s="48"/>
      <c r="AO26" s="1"/>
      <c r="AP26" s="1"/>
      <c r="AQ26" s="19" t="str">
        <f t="shared" si="451"/>
        <v/>
      </c>
      <c r="AR26" s="19" t="str">
        <f t="shared" si="452"/>
        <v/>
      </c>
      <c r="AS26" s="17" t="str">
        <f>IF(AR26 = "", "", AR26*EXP(AQ26*DATA!$B$4)*EXP(-DATA!$B$5*'Inputs-new'!AQ26))</f>
        <v/>
      </c>
      <c r="AT26" s="1"/>
      <c r="AU26" s="1"/>
      <c r="AV26" s="1"/>
      <c r="AW26" s="19"/>
      <c r="AX26" s="19"/>
      <c r="AY26" s="17"/>
      <c r="AZ26" s="80">
        <v>45831.738194444442</v>
      </c>
      <c r="BA26" s="80">
        <v>45854.589583333334</v>
      </c>
      <c r="BB26" s="1">
        <v>254.29249999999999</v>
      </c>
      <c r="BC26" s="63">
        <f t="shared" si="453"/>
        <v>2.9666666665580124</v>
      </c>
      <c r="BD26" s="12">
        <f>IF(BB26 = "", "", BB26*EXP(DATA!$B$4*(BA26-AZ26)*24))</f>
        <v>11246.469415018888</v>
      </c>
      <c r="BE26" s="12">
        <f>IF(BD26 = "", "", BD26*EXP(BC26*DATA!$B$4)*EXP(-BC26*DATA!$B$5))</f>
        <v>11357.468751481762</v>
      </c>
      <c r="BF26" s="14">
        <f t="shared" si="454"/>
        <v>4.8319431249169769E-3</v>
      </c>
      <c r="BG26" s="14">
        <f t="shared" si="455"/>
        <v>4.8796329785857099E-3</v>
      </c>
      <c r="BH26" s="16">
        <v>45833.357638888891</v>
      </c>
      <c r="BI26" s="16">
        <v>45854.595833333333</v>
      </c>
      <c r="BJ26" s="1">
        <v>125.735</v>
      </c>
      <c r="BK26" s="63">
        <f t="shared" si="456"/>
        <v>41.833333333313931</v>
      </c>
      <c r="BL26" s="12">
        <f>IF(BJ26 = "", "", BJ26*EXP(DATA!$B$4*(BI26-BH26)*24))</f>
        <v>4255.6100675908046</v>
      </c>
      <c r="BM26" s="12">
        <f>IF(BL26 = "", "", BL26*EXP(BK26*DATA!$B$4)*EXP(-BK26*DATA!$B$5))</f>
        <v>4887.7386011299523</v>
      </c>
      <c r="BN26" s="14">
        <f t="shared" si="457"/>
        <v>1.8283840954533307E-3</v>
      </c>
      <c r="BO26" s="14">
        <f t="shared" si="458"/>
        <v>2.0999723609777432E-3</v>
      </c>
      <c r="BP26" s="16">
        <v>45835.336805555555</v>
      </c>
      <c r="BQ26" s="16">
        <v>45854.601388888892</v>
      </c>
      <c r="BR26" s="1">
        <v>23.99</v>
      </c>
      <c r="BS26" s="2">
        <f t="shared" si="459"/>
        <v>89.333333333255723</v>
      </c>
      <c r="BT26" s="12">
        <f>IF(BR26 = "", "", BR26*EXP(DATA!$B$4*(BQ26-BP26)*24))</f>
        <v>585.33277235207402</v>
      </c>
      <c r="BU26" s="12">
        <f>IF(BT26 = "", "", BT26*EXP(BS26*DATA!$B$4)*EXP(-BS26*DATA!$B$5))</f>
        <v>786.76025946086668</v>
      </c>
      <c r="BV26" s="14">
        <f t="shared" si="460"/>
        <v>2.5148289305603806E-4</v>
      </c>
      <c r="BW26" s="2">
        <f t="shared" si="461"/>
        <v>3.380243778179027E-4</v>
      </c>
      <c r="BX26" s="16"/>
      <c r="BY26" s="16"/>
      <c r="BZ26" s="1"/>
      <c r="CA26" s="12" t="str">
        <f t="shared" si="462"/>
        <v/>
      </c>
      <c r="CB26" s="12" t="str">
        <f>IF(BZ26 = "", "", BZ26*EXP(DATA!$B$4*(BY26-BX26)*24))</f>
        <v/>
      </c>
      <c r="CC26" s="12" t="str">
        <f>IF(CB26 = "", "", CB26*EXP(CA26*DATA!$B$4)*EXP(-CA26*DATA!$B$5))</f>
        <v/>
      </c>
      <c r="CD26" s="14" t="e">
        <f t="shared" si="463"/>
        <v>#VALUE!</v>
      </c>
      <c r="CE26" s="60" t="e">
        <f t="shared" si="464"/>
        <v>#VALUE!</v>
      </c>
      <c r="CF26" s="16"/>
      <c r="CG26" s="16"/>
      <c r="CH26" s="1"/>
      <c r="CI26" s="12" t="str">
        <f t="shared" si="559"/>
        <v/>
      </c>
      <c r="CJ26" s="12"/>
      <c r="CK26" s="12"/>
      <c r="CL26" s="61"/>
      <c r="CM26" s="62"/>
      <c r="CN26" s="41">
        <f t="shared" si="465"/>
        <v>35.481971699870364</v>
      </c>
      <c r="CO26" s="42">
        <f t="shared" si="466"/>
        <v>14.487030165056924</v>
      </c>
      <c r="CP26" s="42">
        <f t="shared" si="467"/>
        <v>3.5053771923534889</v>
      </c>
      <c r="CQ26" s="42" t="str">
        <f t="shared" si="468"/>
        <v/>
      </c>
      <c r="CR26" s="42">
        <f t="shared" si="469"/>
        <v>0</v>
      </c>
      <c r="CS26" s="42">
        <f t="shared" si="470"/>
        <v>2.129444444377441</v>
      </c>
      <c r="CT26" s="42">
        <f t="shared" si="471"/>
        <v>40.940555555513129</v>
      </c>
      <c r="CU26" s="42">
        <f t="shared" si="472"/>
        <v>88.507222222164273</v>
      </c>
      <c r="CV26" s="42" t="str">
        <f t="shared" si="473"/>
        <v/>
      </c>
      <c r="CW26" s="42">
        <f t="shared" si="474"/>
        <v>0</v>
      </c>
      <c r="CX26" s="75">
        <f t="array" ref="CX26:CY26">LOGEST(CN26:CP26,CS26:CU26,TRUE,TRUE)</f>
        <v>0.97344865639566214</v>
      </c>
      <c r="CY26" s="75">
        <v>39.611330213102889</v>
      </c>
      <c r="CZ26" s="76">
        <v>0</v>
      </c>
      <c r="DA26" s="2">
        <v>2</v>
      </c>
      <c r="DB26" s="2">
        <v>4</v>
      </c>
      <c r="DC26" s="2">
        <v>10</v>
      </c>
      <c r="DD26" s="2">
        <v>18</v>
      </c>
      <c r="DE26" s="2">
        <v>24</v>
      </c>
      <c r="DF26" s="2">
        <v>26</v>
      </c>
      <c r="DG26" s="2">
        <v>34</v>
      </c>
      <c r="DH26" s="2">
        <v>42</v>
      </c>
      <c r="DI26" s="2">
        <v>48</v>
      </c>
      <c r="DJ26" s="2">
        <v>50</v>
      </c>
      <c r="DK26" s="2">
        <v>58</v>
      </c>
      <c r="DL26" s="2">
        <v>66</v>
      </c>
      <c r="DM26" s="2">
        <v>74</v>
      </c>
      <c r="DN26" s="2">
        <f t="shared" si="475"/>
        <v>1.1078564362614289</v>
      </c>
      <c r="DO26" s="2">
        <f t="shared" si="476"/>
        <v>1.0498072922685315</v>
      </c>
      <c r="DP26" s="2">
        <f t="shared" si="477"/>
        <v>0.99479979068345359</v>
      </c>
      <c r="DQ26" s="2">
        <f t="shared" si="478"/>
        <v>0.84647470619307785</v>
      </c>
      <c r="DR26" s="2">
        <f t="shared" si="479"/>
        <v>0.68252472001440234</v>
      </c>
      <c r="DS26" s="2">
        <f t="shared" si="480"/>
        <v>0.58075998533009476</v>
      </c>
      <c r="DT26" s="2">
        <f t="shared" si="481"/>
        <v>0.5503294900869512</v>
      </c>
      <c r="DU26" s="2">
        <f t="shared" si="482"/>
        <v>0.44373857646206971</v>
      </c>
      <c r="DV26" s="2">
        <f t="shared" si="483"/>
        <v>0.35779279102319894</v>
      </c>
      <c r="DW26" s="2">
        <f t="shared" si="484"/>
        <v>0.30444572917661056</v>
      </c>
      <c r="DX26" s="2">
        <f t="shared" si="485"/>
        <v>0.28849346912508778</v>
      </c>
      <c r="DY26" s="2">
        <f t="shared" si="486"/>
        <v>0.23261643000076965</v>
      </c>
      <c r="DZ26" s="2">
        <f t="shared" si="487"/>
        <v>0.18756197036419306</v>
      </c>
      <c r="EA26" s="73">
        <f t="shared" si="488"/>
        <v>0.15123391209632978</v>
      </c>
      <c r="EB26" s="75">
        <f t="array" ref="EB26:EC26">LOGEST(DN26:EA26,CZ26:DM26,TRUE,TRUE)</f>
        <v>0.97344865639566214</v>
      </c>
      <c r="EC26" s="75">
        <v>1.1078564362614289</v>
      </c>
      <c r="ED26" s="2">
        <f t="shared" si="489"/>
        <v>2.6910196808144989E-2</v>
      </c>
      <c r="EE26" s="2">
        <f t="shared" si="490"/>
        <v>25.757789342891328</v>
      </c>
      <c r="EF26" s="17">
        <f t="shared" si="491"/>
        <v>41.16864860409013</v>
      </c>
      <c r="EG26" s="2">
        <f t="shared" si="492"/>
        <v>4.8796329785857099E-3</v>
      </c>
      <c r="EH26" s="2">
        <f t="shared" si="493"/>
        <v>2.0999723609777432E-3</v>
      </c>
      <c r="EI26" s="2">
        <f t="shared" si="494"/>
        <v>3.380243778179027E-4</v>
      </c>
      <c r="EJ26" s="2" t="e">
        <f t="shared" si="495"/>
        <v>#VALUE!</v>
      </c>
      <c r="EK26" s="2">
        <f t="shared" si="496"/>
        <v>0</v>
      </c>
      <c r="EL26" s="12">
        <f t="shared" si="497"/>
        <v>2.9666666665580124</v>
      </c>
      <c r="EM26" s="12">
        <f t="shared" si="498"/>
        <v>41.833333333313931</v>
      </c>
      <c r="EN26" s="12">
        <f t="shared" si="499"/>
        <v>89.333333333255723</v>
      </c>
      <c r="EO26" s="12" t="str">
        <f t="shared" si="500"/>
        <v/>
      </c>
      <c r="EP26" s="12" t="str">
        <f t="shared" si="501"/>
        <v/>
      </c>
      <c r="EQ26" s="35">
        <f t="array" ref="EQ26:ER26">LOGEST(EG26:EI26, EL26:EN26, TRUE, TRUE)</f>
        <v>0.96929444972640588</v>
      </c>
      <c r="ER26" s="35">
        <v>6.101394819440371E-3</v>
      </c>
      <c r="ES26" s="53">
        <v>0</v>
      </c>
      <c r="ET26" s="53">
        <v>2</v>
      </c>
      <c r="EU26" s="53">
        <v>4</v>
      </c>
      <c r="EV26" s="53">
        <v>10</v>
      </c>
      <c r="EW26" s="53">
        <v>18</v>
      </c>
      <c r="EX26" s="53">
        <v>24</v>
      </c>
      <c r="EY26" s="53">
        <v>26</v>
      </c>
      <c r="EZ26" s="53">
        <v>34</v>
      </c>
      <c r="FA26" s="53">
        <v>42</v>
      </c>
      <c r="FB26" s="53">
        <v>48</v>
      </c>
      <c r="FC26" s="53">
        <v>50</v>
      </c>
      <c r="FD26" s="53">
        <v>58</v>
      </c>
      <c r="FE26" s="53">
        <v>66</v>
      </c>
      <c r="FF26" s="53">
        <v>72</v>
      </c>
      <c r="FG26" s="53">
        <v>78</v>
      </c>
      <c r="FH26" s="53">
        <v>84</v>
      </c>
      <c r="FI26" s="53">
        <v>90</v>
      </c>
      <c r="FJ26" s="53">
        <v>96</v>
      </c>
      <c r="FK26" s="54">
        <f>($ER26*$EQ26^ES26)/$I26</f>
        <v>1.706448504638507E-4</v>
      </c>
      <c r="FL26" s="54">
        <f t="shared" si="503"/>
        <v>1.6032625161803806E-4</v>
      </c>
      <c r="FM26" s="54">
        <f t="shared" si="504"/>
        <v>1.5063160059046538E-4</v>
      </c>
      <c r="FN26" s="54">
        <f t="shared" si="505"/>
        <v>1.2492531306490222E-4</v>
      </c>
      <c r="FO26" s="54">
        <f t="shared" si="506"/>
        <v>9.7341100954224434E-5</v>
      </c>
      <c r="FP26" s="54">
        <f t="shared" si="507"/>
        <v>8.0729192700077174E-5</v>
      </c>
      <c r="FQ26" s="54">
        <f t="shared" si="508"/>
        <v>7.5847638100837354E-5</v>
      </c>
      <c r="FR26" s="54">
        <f t="shared" si="509"/>
        <v>5.9100052794563446E-5</v>
      </c>
      <c r="FS26" s="54">
        <f t="shared" si="510"/>
        <v>4.605042856676148E-5</v>
      </c>
      <c r="FT26" s="54">
        <f t="shared" si="511"/>
        <v>3.8191615722894573E-5</v>
      </c>
      <c r="FU26" s="54">
        <f t="shared" si="512"/>
        <v>3.5882234801953962E-5</v>
      </c>
      <c r="FV26" s="54">
        <f t="shared" si="513"/>
        <v>2.7959235439382648E-5</v>
      </c>
      <c r="FW26" s="54">
        <f t="shared" si="514"/>
        <v>2.1785678920763933E-5</v>
      </c>
      <c r="FX26" s="54">
        <f t="shared" si="515"/>
        <v>1.8067807477577483E-5</v>
      </c>
      <c r="FY26" s="54">
        <f t="shared" si="516"/>
        <v>1.4984415598619213E-5</v>
      </c>
      <c r="FZ26" s="54">
        <f t="shared" si="517"/>
        <v>1.24272251135503E-5</v>
      </c>
      <c r="GA26" s="54">
        <f t="shared" si="518"/>
        <v>1.0306436244139294E-5</v>
      </c>
      <c r="GB26" s="77">
        <f t="shared" si="519"/>
        <v>8.5475741433770178E-6</v>
      </c>
      <c r="GC26" s="75">
        <f t="array" ref="GC26:GD26">LOGEST(FK26:GB26, ES26:FJ26, TRUE, TRUE)</f>
        <v>0.96929444972640588</v>
      </c>
      <c r="GD26" s="75">
        <v>1.7064485046385075E-4</v>
      </c>
      <c r="GE26" s="2">
        <f>-LN(FT26/FK26)/FB26</f>
        <v>3.1186843563720021E-2</v>
      </c>
      <c r="GF26" s="2">
        <f>LN(2)/GE26</f>
        <v>22.225627904399104</v>
      </c>
      <c r="GG26" s="2">
        <f>(GF26*DATA!$B$3)/(DATA!$B$3+GF26)</f>
        <v>19.926239775057258</v>
      </c>
      <c r="GH26" s="17">
        <f>(GG26*GD26)/LN(2)</f>
        <v>4.9056106727212064E-3</v>
      </c>
      <c r="GI26" s="96">
        <f>DATA!$B$6/DW26</f>
        <v>9.722586708657321</v>
      </c>
      <c r="GJ26" s="96"/>
      <c r="GK26" s="2">
        <f>IF(G26&lt;F26, 0.0188*(G26^(-2/3)), 0.0188*F26^(-2/3))</f>
        <v>1.3851958434887854E-3</v>
      </c>
      <c r="GL26" s="2">
        <f>GK26*EF26 + GH26*DATA!$B$8</f>
        <v>0.58683259358232631</v>
      </c>
      <c r="GM26" s="96">
        <f>DATA!$B$7/GL26</f>
        <v>3.4081269886373846</v>
      </c>
      <c r="GN26" s="96"/>
      <c r="GO26" s="93">
        <f t="shared" si="524"/>
        <v>9.722586708657321</v>
      </c>
      <c r="GP26" s="51">
        <f>ROUNDDOWN(GO26*27.027,0)</f>
        <v>262</v>
      </c>
      <c r="GQ26" s="93">
        <f>GM26</f>
        <v>3.4081269886373846</v>
      </c>
      <c r="GR26" s="51">
        <f>ROUNDDOWN(GQ26 * 27.027,0)</f>
        <v>92</v>
      </c>
      <c r="GS26" s="1"/>
      <c r="GT26" s="1"/>
      <c r="GU26" s="1"/>
      <c r="GV26" s="57">
        <f t="shared" si="528"/>
        <v>45831.703310185185</v>
      </c>
      <c r="GW26" s="2">
        <f t="shared" si="236"/>
        <v>2.129444444377441</v>
      </c>
      <c r="GX26" s="1"/>
      <c r="GY26" s="2" t="str">
        <f t="shared" si="331"/>
        <v/>
      </c>
      <c r="GZ26" s="2" t="str">
        <f t="shared" si="332"/>
        <v/>
      </c>
      <c r="HA26" s="1"/>
      <c r="HB26" s="1"/>
      <c r="HC26" s="1"/>
      <c r="HD26" s="57">
        <f t="shared" si="529"/>
        <v>45833.320439814815</v>
      </c>
      <c r="HE26" s="2">
        <f t="shared" si="530"/>
        <v>40.940555555513129</v>
      </c>
      <c r="HF26" s="1"/>
      <c r="HG26" s="1"/>
      <c r="HH26" s="1"/>
      <c r="HI26" s="57">
        <f t="shared" si="531"/>
        <v>45835.302384259259</v>
      </c>
      <c r="HJ26" s="2">
        <f t="shared" si="532"/>
        <v>88.507222222164273</v>
      </c>
      <c r="HK26" s="1"/>
      <c r="HL26" s="1"/>
      <c r="HM26" s="1"/>
      <c r="HN26" s="57">
        <f t="shared" si="533"/>
        <v>0</v>
      </c>
      <c r="HO26" s="2" t="str">
        <f t="shared" si="534"/>
        <v/>
      </c>
      <c r="HP26" s="1"/>
      <c r="HQ26" s="1"/>
      <c r="HR26" s="1"/>
      <c r="HS26" s="57">
        <f t="shared" si="535"/>
        <v>0</v>
      </c>
      <c r="HT26" s="2">
        <f t="shared" si="536"/>
        <v>0</v>
      </c>
      <c r="HU26" s="72">
        <f t="shared" si="537"/>
        <v>2.129444444377441</v>
      </c>
      <c r="HV26" s="72">
        <f t="shared" si="538"/>
        <v>40.940555555513129</v>
      </c>
      <c r="HW26" s="72">
        <f t="shared" si="539"/>
        <v>88.507222222164273</v>
      </c>
      <c r="HX26" s="72" t="str">
        <f t="shared" si="540"/>
        <v/>
      </c>
      <c r="HY26" s="72">
        <f t="shared" si="541"/>
        <v>0</v>
      </c>
      <c r="HZ26" s="2" t="e">
        <f t="shared" si="542"/>
        <v>#VALUE!</v>
      </c>
      <c r="IA26" s="2" t="e">
        <f t="shared" si="543"/>
        <v>#VALUE!</v>
      </c>
      <c r="IB26" s="2" t="e">
        <f t="shared" si="544"/>
        <v>#VALUE!</v>
      </c>
      <c r="IC26" s="2" t="e">
        <f t="shared" si="545"/>
        <v>#VALUE!</v>
      </c>
      <c r="ID26" s="2" t="e">
        <f t="shared" si="546"/>
        <v>#VALUE!</v>
      </c>
      <c r="IE26" s="14" t="e">
        <f>HZ26*EXP(DATA!$B$4*'Inputs-new'!HU26)</f>
        <v>#VALUE!</v>
      </c>
      <c r="IF26" s="14" t="e">
        <f>IA26*EXP(DATA!$B$4*'Inputs-new'!HV26)</f>
        <v>#VALUE!</v>
      </c>
      <c r="IG26" s="14" t="e">
        <f>IB26*EXP(DATA!$B$4*'Inputs-new'!HW26)</f>
        <v>#VALUE!</v>
      </c>
      <c r="IH26" s="14" t="e">
        <f>IC26*EXP(DATA!$B$4*'Inputs-new'!HX26)</f>
        <v>#VALUE!</v>
      </c>
      <c r="II26" s="14" t="e">
        <f>ID26*EXP(DATA!$B$4*'Inputs-new'!HY26)</f>
        <v>#VALUE!</v>
      </c>
      <c r="IJ26" s="2" t="e">
        <f t="array" ref="IJ26:IK26">LOGEST(IF26:IH26, HV26:HX26, TRUE, FALSE)</f>
        <v>#VALUE!</v>
      </c>
      <c r="IK26" s="2" t="e">
        <v>#VALUE!</v>
      </c>
      <c r="IL26" s="2" t="e">
        <f t="shared" ref="IL26:IL29" si="675">IF(IK26="","",-LN(IJ26))</f>
        <v>#VALUE!</v>
      </c>
      <c r="IM26" s="2" t="e">
        <f t="shared" si="560"/>
        <v>#VALUE!</v>
      </c>
      <c r="IN26" s="2" t="e">
        <f>(IM26*DATA!$B$3)/(DATA!$B$3+'Inputs-new'!IM26)</f>
        <v>#VALUE!</v>
      </c>
      <c r="IO26" s="2" t="e">
        <f t="shared" si="547"/>
        <v>#VALUE!</v>
      </c>
      <c r="IP26" s="2" t="e">
        <f t="shared" si="548"/>
        <v>#VALUE!</v>
      </c>
      <c r="IQ26" s="2" t="e">
        <f t="shared" si="549"/>
        <v>#VALUE!</v>
      </c>
      <c r="IR26" s="2" t="e">
        <f t="shared" si="550"/>
        <v>#VALUE!</v>
      </c>
      <c r="IS26" s="2" t="e">
        <f t="shared" si="551"/>
        <v>#VALUE!</v>
      </c>
      <c r="IT26" s="63" t="e">
        <f t="shared" si="552"/>
        <v>#VALUE!</v>
      </c>
      <c r="IU26" s="2" t="e">
        <f t="shared" si="553"/>
        <v>#VALUE!</v>
      </c>
      <c r="IV26" s="72" t="e">
        <f t="shared" si="554"/>
        <v>#VALUE!</v>
      </c>
    </row>
    <row r="27" spans="1:256" ht="15.75" thickBot="1" x14ac:dyDescent="0.3">
      <c r="A27" s="5">
        <v>26</v>
      </c>
      <c r="B27" s="1"/>
      <c r="C27" s="1" t="s">
        <v>160</v>
      </c>
      <c r="D27" s="46"/>
      <c r="E27" s="1">
        <v>166</v>
      </c>
      <c r="F27" s="1">
        <v>106.8</v>
      </c>
      <c r="G27" s="2">
        <f>IF(C27 = "M", 65.76+(1.452*(E27-152)), 62.34+(1.247*(E27-152)))</f>
        <v>79.798000000000002</v>
      </c>
      <c r="H27" s="1">
        <v>37</v>
      </c>
      <c r="I27" s="63">
        <f>Z27*EXP(DATA!$B$4*Y27)</f>
        <v>57.90049656840521</v>
      </c>
      <c r="J27" s="63">
        <f>AA27*EXP(DATA!$B$5*'Inputs-new'!Y27)</f>
        <v>57.900496568405202</v>
      </c>
      <c r="K27" s="1"/>
      <c r="L27" s="48">
        <v>45831.61041666667</v>
      </c>
      <c r="M27" s="48">
        <v>45831.683333333334</v>
      </c>
      <c r="N27" s="1">
        <v>27.58</v>
      </c>
      <c r="O27" s="48">
        <v>45848.729166666664</v>
      </c>
      <c r="P27" s="1">
        <v>200</v>
      </c>
      <c r="Q27" s="1">
        <v>19278.400000000001</v>
      </c>
      <c r="R27" s="1">
        <v>6.58</v>
      </c>
      <c r="S27" s="2">
        <f t="shared" si="447"/>
        <v>0.13789999999999999</v>
      </c>
      <c r="T27" s="13">
        <f>Q27*EXP((O27-M27)*24*DATA!$B$4)</f>
        <v>325579.03071548004</v>
      </c>
      <c r="U27" s="20">
        <f t="shared" si="448"/>
        <v>2360979.1930056568</v>
      </c>
      <c r="V27" s="48">
        <v>45831.68105324074</v>
      </c>
      <c r="W27" s="1">
        <v>232.9</v>
      </c>
      <c r="X27" s="1">
        <v>245711.67</v>
      </c>
      <c r="Y27" s="19">
        <f t="shared" si="555"/>
        <v>1.6952777776750736</v>
      </c>
      <c r="Z27" s="19">
        <f>IF(W27 = "", "", W27*X27/1000000)</f>
        <v>57.226247943000004</v>
      </c>
      <c r="AA27" s="17">
        <f>IF(Z27 = "", "", Z27*EXP(Y27*DATA!$B$4)*EXP(-DATA!$B$5*'Inputs-new'!Y27))</f>
        <v>57.54832249866125</v>
      </c>
      <c r="AB27" s="48">
        <v>45833.309201388889</v>
      </c>
      <c r="AC27" s="1">
        <v>85.7</v>
      </c>
      <c r="AD27" s="1">
        <v>237943</v>
      </c>
      <c r="AE27" s="19">
        <f t="shared" si="557"/>
        <v>40.770833333255723</v>
      </c>
      <c r="AF27" s="19">
        <f t="shared" si="558"/>
        <v>20.391715100000003</v>
      </c>
      <c r="AG27" s="17">
        <f>IF(AF27 = "", "", AF27*EXP(AE27*DATA!$B$4)*EXP(-DATA!$B$5*'Inputs-new'!AE27))</f>
        <v>23.33846467601218</v>
      </c>
      <c r="AH27" s="48">
        <v>45835.31858796296</v>
      </c>
      <c r="AI27" s="1">
        <v>26.1</v>
      </c>
      <c r="AJ27" s="1">
        <v>237080.09</v>
      </c>
      <c r="AK27" s="19">
        <f t="shared" si="449"/>
        <v>88.996111110958736</v>
      </c>
      <c r="AL27" s="19">
        <f t="shared" si="450"/>
        <v>6.1877903490000001</v>
      </c>
      <c r="AM27" s="17">
        <f>IF(AL27 = "", "", AL27*EXP(AK27*DATA!$B$4)*EXP(-DATA!$B$5*'Inputs-new'!AK27))</f>
        <v>8.3078820411939436</v>
      </c>
      <c r="AN27" s="48"/>
      <c r="AO27" s="1"/>
      <c r="AP27" s="1"/>
      <c r="AQ27" s="19" t="str">
        <f t="shared" si="451"/>
        <v/>
      </c>
      <c r="AR27" s="19" t="str">
        <f t="shared" si="452"/>
        <v/>
      </c>
      <c r="AS27" s="17" t="str">
        <f>IF(AR27 = "", "", AR27*EXP(AQ27*DATA!$B$4)*EXP(-DATA!$B$5*'Inputs-new'!AQ27))</f>
        <v/>
      </c>
      <c r="AT27" s="1"/>
      <c r="AU27" s="1"/>
      <c r="AV27" s="1"/>
      <c r="AW27" s="19"/>
      <c r="AX27" s="19"/>
      <c r="AY27" s="17"/>
      <c r="AZ27" s="80">
        <v>45831.716666666667</v>
      </c>
      <c r="BA27" s="80">
        <v>45848.734722222223</v>
      </c>
      <c r="BB27" s="1">
        <v>455.93</v>
      </c>
      <c r="BC27" s="63">
        <f t="shared" si="453"/>
        <v>2.5499999999301508</v>
      </c>
      <c r="BD27" s="12">
        <f>IF(BB27 = "", "", BB27*EXP(DATA!$B$4*(BA27-AZ27)*24))</f>
        <v>7664.4879055023148</v>
      </c>
      <c r="BE27" s="12">
        <f>IF(BD27 = "", "", BD27*EXP(BC27*DATA!$B$4)*EXP(-BC27*DATA!$B$5))</f>
        <v>7729.4647713594595</v>
      </c>
      <c r="BF27" s="14">
        <f t="shared" si="454"/>
        <v>3.2463174297377006E-3</v>
      </c>
      <c r="BG27" s="14">
        <f t="shared" si="455"/>
        <v>3.2738385811521805E-3</v>
      </c>
      <c r="BH27" s="16">
        <v>45833.349305555559</v>
      </c>
      <c r="BI27" s="16">
        <v>45848.740972222222</v>
      </c>
      <c r="BJ27" s="1">
        <v>218.1825</v>
      </c>
      <c r="BK27" s="63">
        <f t="shared" si="456"/>
        <v>41.733333333337214</v>
      </c>
      <c r="BL27" s="12">
        <f>IF(BJ27 = "", "", BJ27*EXP(DATA!$B$4*(BI27-BH27)*24))</f>
        <v>2800.7713351552125</v>
      </c>
      <c r="BM27" s="12">
        <f>IF(BL27 = "", "", BL27*EXP(BK27*DATA!$B$4)*EXP(-BK27*DATA!$B$5))</f>
        <v>3215.733287267934</v>
      </c>
      <c r="BN27" s="14">
        <f t="shared" si="457"/>
        <v>1.1862753146882571E-3</v>
      </c>
      <c r="BO27" s="14">
        <f t="shared" si="458"/>
        <v>1.3620337260042213E-3</v>
      </c>
      <c r="BP27" s="16">
        <v>45835.350694444445</v>
      </c>
      <c r="BQ27" s="16">
        <v>45848.746527777781</v>
      </c>
      <c r="BR27" s="1">
        <v>87.557500000000005</v>
      </c>
      <c r="BS27" s="2">
        <f t="shared" si="459"/>
        <v>89.766666666604578</v>
      </c>
      <c r="BT27" s="12">
        <f>IF(BR27 = "", "", BR27*EXP(DATA!$B$4*(BQ27-BP27)*24))</f>
        <v>807.26787657985085</v>
      </c>
      <c r="BU27" s="12">
        <f>IF(BT27 = "", "", BT27*EXP(BS27*DATA!$B$4)*EXP(-BS27*DATA!$B$5))</f>
        <v>1086.6264523365826</v>
      </c>
      <c r="BV27" s="14">
        <f t="shared" si="460"/>
        <v>3.4192079242856619E-4</v>
      </c>
      <c r="BW27" s="2">
        <f t="shared" si="461"/>
        <v>4.6024397654824189E-4</v>
      </c>
      <c r="BX27" s="16"/>
      <c r="BY27" s="16"/>
      <c r="BZ27" s="1"/>
      <c r="CA27" s="12" t="str">
        <f t="shared" si="462"/>
        <v/>
      </c>
      <c r="CB27" s="12" t="str">
        <f>IF(BZ27 = "", "", BZ27*EXP(DATA!$B$4*(BY27-BX27)*24))</f>
        <v/>
      </c>
      <c r="CC27" s="12" t="str">
        <f>IF(CB27 = "", "", CB27*EXP(CA27*DATA!$B$4)*EXP(-CA27*DATA!$B$5))</f>
        <v/>
      </c>
      <c r="CD27" s="14" t="e">
        <f t="shared" si="463"/>
        <v>#VALUE!</v>
      </c>
      <c r="CE27" s="60" t="e">
        <f t="shared" si="464"/>
        <v>#VALUE!</v>
      </c>
      <c r="CF27" s="16"/>
      <c r="CG27" s="16"/>
      <c r="CH27" s="1"/>
      <c r="CI27" s="12" t="str">
        <f t="shared" si="559"/>
        <v/>
      </c>
      <c r="CJ27" s="12"/>
      <c r="CK27" s="12"/>
      <c r="CL27" s="61"/>
      <c r="CM27" s="62"/>
      <c r="CN27" s="41">
        <f t="shared" si="465"/>
        <v>57.54832249866125</v>
      </c>
      <c r="CO27" s="42">
        <f t="shared" si="466"/>
        <v>23.33846467601218</v>
      </c>
      <c r="CP27" s="42">
        <f t="shared" si="467"/>
        <v>8.3078820411939436</v>
      </c>
      <c r="CQ27" s="42" t="str">
        <f t="shared" si="468"/>
        <v/>
      </c>
      <c r="CR27" s="42">
        <f t="shared" si="469"/>
        <v>0</v>
      </c>
      <c r="CS27" s="42">
        <f t="shared" si="470"/>
        <v>1.6952777776750736</v>
      </c>
      <c r="CT27" s="42">
        <f t="shared" si="471"/>
        <v>40.770833333255723</v>
      </c>
      <c r="CU27" s="42">
        <f t="shared" si="472"/>
        <v>88.996111110958736</v>
      </c>
      <c r="CV27" s="42" t="str">
        <f t="shared" si="473"/>
        <v/>
      </c>
      <c r="CW27" s="42">
        <f t="shared" si="474"/>
        <v>0</v>
      </c>
      <c r="CX27" s="75">
        <f t="array" ref="CX27:CY27">LOGEST(CN27:CP27,CS27:CU27,TRUE,TRUE)</f>
        <v>0.97810264893678467</v>
      </c>
      <c r="CY27" s="75">
        <v>58.960288735774036</v>
      </c>
      <c r="CZ27" s="76">
        <v>0</v>
      </c>
      <c r="DA27" s="2">
        <v>2</v>
      </c>
      <c r="DB27" s="2">
        <v>4</v>
      </c>
      <c r="DC27" s="2">
        <v>10</v>
      </c>
      <c r="DD27" s="2">
        <v>18</v>
      </c>
      <c r="DE27" s="2">
        <v>24</v>
      </c>
      <c r="DF27" s="2">
        <v>26</v>
      </c>
      <c r="DG27" s="2">
        <v>34</v>
      </c>
      <c r="DH27" s="2">
        <v>42</v>
      </c>
      <c r="DI27" s="2">
        <v>48</v>
      </c>
      <c r="DJ27" s="2">
        <v>50</v>
      </c>
      <c r="DK27" s="2">
        <v>58</v>
      </c>
      <c r="DL27" s="2">
        <v>66</v>
      </c>
      <c r="DM27" s="2">
        <v>74</v>
      </c>
      <c r="DN27" s="2">
        <f t="shared" si="475"/>
        <v>1.018303680109492</v>
      </c>
      <c r="DO27" s="2">
        <f t="shared" si="476"/>
        <v>0.97419564425292449</v>
      </c>
      <c r="DP27" s="2">
        <f t="shared" si="477"/>
        <v>0.93199815715025602</v>
      </c>
      <c r="DQ27" s="2">
        <f t="shared" si="478"/>
        <v>0.81605919785633985</v>
      </c>
      <c r="DR27" s="2">
        <f t="shared" si="479"/>
        <v>0.68359227259389777</v>
      </c>
      <c r="DS27" s="2">
        <f t="shared" si="480"/>
        <v>0.59855457583681915</v>
      </c>
      <c r="DT27" s="2">
        <f t="shared" si="481"/>
        <v>0.57262805979959497</v>
      </c>
      <c r="DU27" s="2">
        <f t="shared" si="482"/>
        <v>0.47967612861628434</v>
      </c>
      <c r="DV27" s="2">
        <f t="shared" si="483"/>
        <v>0.4018126328717308</v>
      </c>
      <c r="DW27" s="2">
        <f t="shared" si="484"/>
        <v>0.35182783608979212</v>
      </c>
      <c r="DX27" s="2">
        <f t="shared" si="485"/>
        <v>0.33658834013911609</v>
      </c>
      <c r="DY27" s="2">
        <f t="shared" si="486"/>
        <v>0.28195158999336634</v>
      </c>
      <c r="DZ27" s="2">
        <f t="shared" si="487"/>
        <v>0.23618375807947006</v>
      </c>
      <c r="EA27" s="73">
        <f t="shared" si="488"/>
        <v>0.19784519598507702</v>
      </c>
      <c r="EB27" s="75">
        <f t="array" ref="EB27:EC27">LOGEST(DN27:EA27,CZ27:DM27,TRUE,TRUE)</f>
        <v>0.97810264893678467</v>
      </c>
      <c r="EC27" s="75">
        <v>1.018303680109492</v>
      </c>
      <c r="ED27" s="2">
        <f t="shared" si="489"/>
        <v>2.2140656441954325E-2</v>
      </c>
      <c r="EE27" s="2">
        <f t="shared" si="490"/>
        <v>31.306532504000234</v>
      </c>
      <c r="EF27" s="17">
        <f t="shared" si="491"/>
        <v>45.992479165157391</v>
      </c>
      <c r="EG27" s="2">
        <f t="shared" si="492"/>
        <v>3.2738385811521805E-3</v>
      </c>
      <c r="EH27" s="2">
        <f t="shared" si="493"/>
        <v>1.3620337260042213E-3</v>
      </c>
      <c r="EI27" s="2">
        <f t="shared" si="494"/>
        <v>4.6024397654824189E-4</v>
      </c>
      <c r="EJ27" s="2" t="e">
        <f t="shared" si="495"/>
        <v>#VALUE!</v>
      </c>
      <c r="EK27" s="2">
        <f t="shared" si="496"/>
        <v>0</v>
      </c>
      <c r="EL27" s="12">
        <f t="shared" si="497"/>
        <v>2.5499999999301508</v>
      </c>
      <c r="EM27" s="12">
        <f t="shared" si="498"/>
        <v>41.733333333337214</v>
      </c>
      <c r="EN27" s="12">
        <f t="shared" si="499"/>
        <v>89.766666666604578</v>
      </c>
      <c r="EO27" s="12" t="str">
        <f t="shared" si="500"/>
        <v/>
      </c>
      <c r="EP27" s="12" t="str">
        <f t="shared" si="501"/>
        <v/>
      </c>
      <c r="EQ27" s="35">
        <f t="array" ref="EQ27:ER27">LOGEST(EG27:EI27, EL27:EN27, TRUE, TRUE)</f>
        <v>0.97775250322470642</v>
      </c>
      <c r="ER27" s="35">
        <v>3.4728132771427692E-3</v>
      </c>
      <c r="ES27" s="53">
        <v>0</v>
      </c>
      <c r="ET27" s="53">
        <v>2</v>
      </c>
      <c r="EU27" s="53">
        <v>4</v>
      </c>
      <c r="EV27" s="53">
        <v>10</v>
      </c>
      <c r="EW27" s="53">
        <v>18</v>
      </c>
      <c r="EX27" s="53">
        <v>24</v>
      </c>
      <c r="EY27" s="53">
        <v>26</v>
      </c>
      <c r="EZ27" s="53">
        <v>34</v>
      </c>
      <c r="FA27" s="53">
        <v>42</v>
      </c>
      <c r="FB27" s="53">
        <v>48</v>
      </c>
      <c r="FC27" s="53">
        <v>50</v>
      </c>
      <c r="FD27" s="53">
        <v>58</v>
      </c>
      <c r="FE27" s="53">
        <v>66</v>
      </c>
      <c r="FF27" s="53">
        <v>72</v>
      </c>
      <c r="FG27" s="53">
        <v>78</v>
      </c>
      <c r="FH27" s="53">
        <v>84</v>
      </c>
      <c r="FI27" s="53">
        <v>90</v>
      </c>
      <c r="FJ27" s="53">
        <v>96</v>
      </c>
      <c r="FK27" s="54">
        <f t="shared" si="502"/>
        <v>5.9978989524552589E-5</v>
      </c>
      <c r="FL27" s="54">
        <f t="shared" si="503"/>
        <v>5.7339911440094684E-5</v>
      </c>
      <c r="FM27" s="54">
        <f t="shared" si="504"/>
        <v>5.4816952903349643E-5</v>
      </c>
      <c r="FN27" s="54">
        <f t="shared" si="505"/>
        <v>4.7894816076953429E-5</v>
      </c>
      <c r="FO27" s="54">
        <f t="shared" si="506"/>
        <v>4.0005527553730892E-5</v>
      </c>
      <c r="FP27" s="54">
        <f t="shared" si="507"/>
        <v>3.4953737534914145E-5</v>
      </c>
      <c r="FQ27" s="54">
        <f t="shared" si="508"/>
        <v>3.3415771600017479E-5</v>
      </c>
      <c r="FR27" s="54">
        <f t="shared" si="509"/>
        <v>2.7911487734409356E-5</v>
      </c>
      <c r="FS27" s="54">
        <f t="shared" si="510"/>
        <v>2.3313875761219178E-5</v>
      </c>
      <c r="FT27" s="54">
        <f t="shared" si="511"/>
        <v>2.0369862469249062E-5</v>
      </c>
      <c r="FU27" s="54">
        <f t="shared" si="512"/>
        <v>1.9473587656149536E-5</v>
      </c>
      <c r="FV27" s="54">
        <f t="shared" si="513"/>
        <v>1.6265876171157414E-5</v>
      </c>
      <c r="FW27" s="54">
        <f t="shared" si="514"/>
        <v>1.3586542566637726E-5</v>
      </c>
      <c r="FX27" s="54">
        <f t="shared" si="515"/>
        <v>1.1870870650146071E-5</v>
      </c>
      <c r="FY27" s="54">
        <f t="shared" si="516"/>
        <v>1.0371849151566187E-5</v>
      </c>
      <c r="FZ27" s="54">
        <f t="shared" si="517"/>
        <v>9.0621200410031037E-6</v>
      </c>
      <c r="GA27" s="54">
        <f t="shared" si="518"/>
        <v>7.9177799867200473E-6</v>
      </c>
      <c r="GB27" s="77">
        <f t="shared" si="519"/>
        <v>6.9179441051814993E-6</v>
      </c>
      <c r="GC27" s="75">
        <f t="array" ref="GC27:GD27">LOGEST(FK27:GB27, ES27:FJ27, TRUE, TRUE)</f>
        <v>0.97775250322470642</v>
      </c>
      <c r="GD27" s="75">
        <v>5.9978989524552609E-5</v>
      </c>
      <c r="GE27" s="2">
        <f t="shared" si="520"/>
        <v>2.2498705160881208E-2</v>
      </c>
      <c r="GF27" s="2">
        <f t="shared" si="521"/>
        <v>30.808314327578696</v>
      </c>
      <c r="GG27" s="2">
        <f>(GF27*DATA!$B$3)/(DATA!$B$3+GF27)</f>
        <v>26.559896616901248</v>
      </c>
      <c r="GH27" s="17">
        <f t="shared" si="522"/>
        <v>2.298264792293345E-3</v>
      </c>
      <c r="GI27" s="96">
        <f>DATA!$B$6/DW27</f>
        <v>8.413205825034721</v>
      </c>
      <c r="GJ27" s="96"/>
      <c r="GK27" s="2">
        <f t="shared" si="523"/>
        <v>1.0142924158834917E-3</v>
      </c>
      <c r="GL27" s="2">
        <f>GK27*EF27 + GH27*DATA!$B$8</f>
        <v>0.29486242037257993</v>
      </c>
      <c r="GM27" s="96">
        <f>DATA!$B$7/GL27</f>
        <v>6.7828243337108063</v>
      </c>
      <c r="GN27" s="96"/>
      <c r="GO27" s="93">
        <f t="shared" si="524"/>
        <v>8.413205825034721</v>
      </c>
      <c r="GP27" s="51">
        <f t="shared" si="525"/>
        <v>227</v>
      </c>
      <c r="GQ27" s="93">
        <f t="shared" si="526"/>
        <v>6.7828243337108063</v>
      </c>
      <c r="GR27" s="51">
        <f t="shared" si="527"/>
        <v>183</v>
      </c>
      <c r="GS27" s="1"/>
      <c r="GT27" s="1"/>
      <c r="GU27" s="1"/>
      <c r="GV27" s="57">
        <f t="shared" si="528"/>
        <v>45831.68105324074</v>
      </c>
      <c r="GW27" s="2">
        <f t="shared" si="236"/>
        <v>1.6952777776750736</v>
      </c>
      <c r="GX27" s="1"/>
      <c r="GY27" s="2" t="str">
        <f t="shared" si="331"/>
        <v/>
      </c>
      <c r="GZ27" s="2" t="str">
        <f t="shared" si="332"/>
        <v/>
      </c>
      <c r="HA27" s="1"/>
      <c r="HB27" s="1"/>
      <c r="HC27" s="1"/>
      <c r="HD27" s="57">
        <f t="shared" si="529"/>
        <v>45833.309201388889</v>
      </c>
      <c r="HE27" s="2">
        <f t="shared" si="530"/>
        <v>40.770833333255723</v>
      </c>
      <c r="HF27" s="1"/>
      <c r="HG27" s="1"/>
      <c r="HH27" s="1"/>
      <c r="HI27" s="57">
        <f t="shared" si="531"/>
        <v>45835.31858796296</v>
      </c>
      <c r="HJ27" s="2">
        <f t="shared" si="532"/>
        <v>88.996111110958736</v>
      </c>
      <c r="HK27" s="1"/>
      <c r="HL27" s="1"/>
      <c r="HM27" s="1"/>
      <c r="HN27" s="57">
        <f t="shared" si="533"/>
        <v>0</v>
      </c>
      <c r="HO27" s="2" t="str">
        <f t="shared" si="534"/>
        <v/>
      </c>
      <c r="HP27" s="1"/>
      <c r="HQ27" s="1"/>
      <c r="HR27" s="1"/>
      <c r="HS27" s="57">
        <f t="shared" si="535"/>
        <v>0</v>
      </c>
      <c r="HT27" s="2">
        <f t="shared" si="536"/>
        <v>0</v>
      </c>
      <c r="HU27" s="72">
        <f t="shared" si="537"/>
        <v>1.6952777776750736</v>
      </c>
      <c r="HV27" s="72">
        <f t="shared" si="538"/>
        <v>40.770833333255723</v>
      </c>
      <c r="HW27" s="72">
        <f t="shared" si="539"/>
        <v>88.996111110958736</v>
      </c>
      <c r="HX27" s="72" t="str">
        <f t="shared" si="540"/>
        <v/>
      </c>
      <c r="HY27" s="72">
        <f t="shared" si="541"/>
        <v>0</v>
      </c>
      <c r="HZ27" s="2" t="e">
        <f t="shared" si="542"/>
        <v>#VALUE!</v>
      </c>
      <c r="IA27" s="2" t="e">
        <f t="shared" si="543"/>
        <v>#VALUE!</v>
      </c>
      <c r="IB27" s="2" t="e">
        <f t="shared" si="544"/>
        <v>#VALUE!</v>
      </c>
      <c r="IC27" s="2" t="e">
        <f t="shared" si="545"/>
        <v>#VALUE!</v>
      </c>
      <c r="ID27" s="2" t="e">
        <f t="shared" si="546"/>
        <v>#VALUE!</v>
      </c>
      <c r="IE27" s="14" t="e">
        <f>HZ27*EXP(DATA!$B$4*'Inputs-new'!HU27)</f>
        <v>#VALUE!</v>
      </c>
      <c r="IF27" s="14" t="e">
        <f>IA27*EXP(DATA!$B$4*'Inputs-new'!HV27)</f>
        <v>#VALUE!</v>
      </c>
      <c r="IG27" s="14" t="e">
        <f>IB27*EXP(DATA!$B$4*'Inputs-new'!HW27)</f>
        <v>#VALUE!</v>
      </c>
      <c r="IH27" s="14" t="e">
        <f>IC27*EXP(DATA!$B$4*'Inputs-new'!HX27)</f>
        <v>#VALUE!</v>
      </c>
      <c r="II27" s="14" t="e">
        <f>ID27*EXP(DATA!$B$4*'Inputs-new'!HY27)</f>
        <v>#VALUE!</v>
      </c>
      <c r="IJ27" s="2" t="e">
        <f t="array" ref="IJ27:IK27">LOGEST(IF27:IH27, HV27:HX27, TRUE, FALSE)</f>
        <v>#VALUE!</v>
      </c>
      <c r="IK27" s="2" t="e">
        <v>#VALUE!</v>
      </c>
      <c r="IL27" s="2" t="e">
        <f t="shared" si="675"/>
        <v>#VALUE!</v>
      </c>
      <c r="IM27" s="2" t="e">
        <f t="shared" si="560"/>
        <v>#VALUE!</v>
      </c>
      <c r="IN27" s="2" t="e">
        <f>(IM27*DATA!$B$3)/(DATA!$B$3+'Inputs-new'!IM27)</f>
        <v>#VALUE!</v>
      </c>
      <c r="IO27" s="2" t="e">
        <f t="shared" si="547"/>
        <v>#VALUE!</v>
      </c>
      <c r="IP27" s="2" t="e">
        <f t="shared" si="548"/>
        <v>#VALUE!</v>
      </c>
      <c r="IQ27" s="2" t="e">
        <f t="shared" si="549"/>
        <v>#VALUE!</v>
      </c>
      <c r="IR27" s="2" t="e">
        <f t="shared" si="550"/>
        <v>#VALUE!</v>
      </c>
      <c r="IS27" s="2" t="e">
        <f t="shared" si="551"/>
        <v>#VALUE!</v>
      </c>
      <c r="IT27" s="63" t="e">
        <f t="shared" si="552"/>
        <v>#VALUE!</v>
      </c>
      <c r="IU27" s="2" t="e">
        <f t="shared" si="553"/>
        <v>#VALUE!</v>
      </c>
      <c r="IV27" s="72" t="e">
        <f t="shared" si="554"/>
        <v>#VALUE!</v>
      </c>
    </row>
    <row r="28" spans="1:256" ht="15.75" thickBot="1" x14ac:dyDescent="0.3">
      <c r="A28" s="1"/>
      <c r="B28" s="1"/>
      <c r="C28" s="1"/>
      <c r="D28" s="46"/>
      <c r="E28" s="1"/>
      <c r="F28" s="1"/>
      <c r="G28" s="2"/>
      <c r="H28" s="1"/>
      <c r="I28" s="63" t="e">
        <f>Z28*EXP(DATA!$B$4*Y28)</f>
        <v>#VALUE!</v>
      </c>
      <c r="J28" s="63" t="e">
        <f>AA28*EXP(DATA!$B$5*'Inputs-new'!Y28)</f>
        <v>#VALUE!</v>
      </c>
      <c r="K28" s="1"/>
      <c r="L28" s="48"/>
      <c r="M28" s="48"/>
      <c r="N28" s="1"/>
      <c r="O28" s="48"/>
      <c r="P28" s="1"/>
      <c r="Q28" s="1"/>
      <c r="R28" s="1"/>
      <c r="S28" s="2" t="e">
        <f t="shared" si="447"/>
        <v>#DIV/0!</v>
      </c>
      <c r="T28" s="13">
        <f>Q28*EXP((O28-M28)*24*DATA!$B$4)</f>
        <v>0</v>
      </c>
      <c r="U28" s="20" t="e">
        <f t="shared" si="448"/>
        <v>#DIV/0!</v>
      </c>
      <c r="V28" s="48"/>
      <c r="W28" s="1"/>
      <c r="X28" s="1"/>
      <c r="Y28" s="19" t="str">
        <f t="shared" si="555"/>
        <v/>
      </c>
      <c r="Z28" s="19" t="str">
        <f t="shared" si="556"/>
        <v/>
      </c>
      <c r="AA28" s="17" t="str">
        <f>IF(Z28 = "", "", Z28*EXP(Y28*DATA!$B$4)*EXP(-DATA!$B$5*'Inputs-new'!Y28))</f>
        <v/>
      </c>
      <c r="AB28" s="48"/>
      <c r="AC28" s="1"/>
      <c r="AD28" s="1"/>
      <c r="AE28" s="19" t="str">
        <f t="shared" si="557"/>
        <v/>
      </c>
      <c r="AF28" s="19" t="str">
        <f t="shared" si="558"/>
        <v/>
      </c>
      <c r="AG28" s="17" t="str">
        <f>IF(AF28 = "", "", AF28*EXP(AE28*DATA!$B$4)*EXP(-DATA!$B$5*'Inputs-new'!AE28))</f>
        <v/>
      </c>
      <c r="AH28" s="48"/>
      <c r="AI28" s="1"/>
      <c r="AJ28" s="1"/>
      <c r="AK28" s="19" t="str">
        <f t="shared" si="449"/>
        <v/>
      </c>
      <c r="AL28" s="19" t="str">
        <f t="shared" si="450"/>
        <v/>
      </c>
      <c r="AM28" s="17" t="str">
        <f>IF(AL28 = "", "", AL28*EXP(AK28*DATA!$B$4)*EXP(-DATA!$B$5*'Inputs-new'!AK28))</f>
        <v/>
      </c>
      <c r="AN28" s="48"/>
      <c r="AO28" s="1"/>
      <c r="AP28" s="1"/>
      <c r="AQ28" s="19" t="str">
        <f t="shared" si="451"/>
        <v/>
      </c>
      <c r="AR28" s="19" t="str">
        <f t="shared" si="452"/>
        <v/>
      </c>
      <c r="AS28" s="17" t="str">
        <f>IF(AR28 = "", "", AR28*EXP(AQ28*DATA!$B$4)*EXP(-DATA!$B$5*'Inputs-new'!AQ28))</f>
        <v/>
      </c>
      <c r="AT28" s="1"/>
      <c r="AU28" s="1"/>
      <c r="AV28" s="1"/>
      <c r="AW28" s="19"/>
      <c r="AX28" s="19"/>
      <c r="AY28" s="17"/>
      <c r="AZ28" s="80"/>
      <c r="BA28" s="80"/>
      <c r="BB28" s="1"/>
      <c r="BC28" s="63" t="str">
        <f t="shared" si="453"/>
        <v/>
      </c>
      <c r="BD28" s="12" t="str">
        <f>IF(BB28 = "", "", BB28*EXP(DATA!$B$4*(BA28-AZ28)*24))</f>
        <v/>
      </c>
      <c r="BE28" s="12" t="str">
        <f>IF(BD28 = "", "", BD28*EXP(BC28*DATA!$B$4)*EXP(-BC28*DATA!$B$5))</f>
        <v/>
      </c>
      <c r="BF28" s="14" t="e">
        <f t="shared" si="454"/>
        <v>#VALUE!</v>
      </c>
      <c r="BG28" s="14" t="e">
        <f t="shared" si="455"/>
        <v>#VALUE!</v>
      </c>
      <c r="BH28" s="16"/>
      <c r="BI28" s="16"/>
      <c r="BJ28" s="1"/>
      <c r="BK28" s="63" t="str">
        <f t="shared" si="456"/>
        <v/>
      </c>
      <c r="BL28" s="12" t="str">
        <f>IF(BJ28 = "", "", BJ28*EXP(DATA!$B$4*(BI28-BH28)*24))</f>
        <v/>
      </c>
      <c r="BM28" s="12" t="str">
        <f>IF(BL28 = "", "", BL28*EXP(BK28*DATA!$B$4)*EXP(-BK28*DATA!$B$5))</f>
        <v/>
      </c>
      <c r="BN28" s="14" t="e">
        <f t="shared" si="457"/>
        <v>#VALUE!</v>
      </c>
      <c r="BO28" s="14" t="e">
        <f t="shared" si="458"/>
        <v>#VALUE!</v>
      </c>
      <c r="BP28" s="16"/>
      <c r="BQ28" s="16"/>
      <c r="BR28" s="1"/>
      <c r="BS28" s="2" t="str">
        <f t="shared" si="459"/>
        <v/>
      </c>
      <c r="BT28" s="12" t="str">
        <f>IF(BR28 = "", "", BR28*EXP(DATA!$B$4*(BQ28-BP28)*24))</f>
        <v/>
      </c>
      <c r="BU28" s="12" t="str">
        <f>IF(BT28 = "", "", BT28*EXP(BS28*DATA!$B$4)*EXP(-BS28*DATA!$B$5))</f>
        <v/>
      </c>
      <c r="BV28" s="14" t="e">
        <f t="shared" si="460"/>
        <v>#VALUE!</v>
      </c>
      <c r="BW28" s="2" t="e">
        <f t="shared" si="461"/>
        <v>#VALUE!</v>
      </c>
      <c r="BX28" s="16"/>
      <c r="BY28" s="16"/>
      <c r="BZ28" s="1"/>
      <c r="CA28" s="12" t="str">
        <f t="shared" si="462"/>
        <v/>
      </c>
      <c r="CB28" s="12" t="str">
        <f>IF(BZ28 = "", "", BZ28*EXP(DATA!$B$4*(BY28-BX28)*24))</f>
        <v/>
      </c>
      <c r="CC28" s="12" t="str">
        <f>IF(CB28 = "", "", CB28*EXP(CA28*DATA!$B$4)*EXP(-CA28*DATA!$B$5))</f>
        <v/>
      </c>
      <c r="CD28" s="14" t="e">
        <f t="shared" si="463"/>
        <v>#VALUE!</v>
      </c>
      <c r="CE28" s="60" t="e">
        <f t="shared" si="464"/>
        <v>#VALUE!</v>
      </c>
      <c r="CF28" s="16"/>
      <c r="CG28" s="16"/>
      <c r="CH28" s="1"/>
      <c r="CI28" s="12" t="str">
        <f t="shared" si="559"/>
        <v/>
      </c>
      <c r="CJ28" s="12"/>
      <c r="CK28" s="12"/>
      <c r="CL28" s="61"/>
      <c r="CM28" s="62"/>
      <c r="CN28" s="41" t="str">
        <f t="shared" si="465"/>
        <v/>
      </c>
      <c r="CO28" s="42" t="str">
        <f t="shared" si="466"/>
        <v/>
      </c>
      <c r="CP28" s="42" t="str">
        <f t="shared" si="467"/>
        <v/>
      </c>
      <c r="CQ28" s="42" t="str">
        <f t="shared" si="468"/>
        <v/>
      </c>
      <c r="CR28" s="42">
        <f t="shared" si="469"/>
        <v>0</v>
      </c>
      <c r="CS28" s="42" t="str">
        <f t="shared" si="470"/>
        <v/>
      </c>
      <c r="CT28" s="42" t="str">
        <f t="shared" si="471"/>
        <v/>
      </c>
      <c r="CU28" s="42" t="str">
        <f t="shared" si="472"/>
        <v/>
      </c>
      <c r="CV28" s="42" t="str">
        <f t="shared" si="473"/>
        <v/>
      </c>
      <c r="CW28" s="42">
        <f t="shared" si="474"/>
        <v>0</v>
      </c>
      <c r="CX28" s="75" t="e">
        <f t="array" ref="CX28:CY28">LOGEST(CN28:CO28,CS28:CT28,TRUE,TRUE)</f>
        <v>#VALUE!</v>
      </c>
      <c r="CY28" s="75" t="e">
        <v>#VALUE!</v>
      </c>
      <c r="CZ28" s="76">
        <v>0</v>
      </c>
      <c r="DA28" s="2">
        <v>2</v>
      </c>
      <c r="DB28" s="2">
        <v>4</v>
      </c>
      <c r="DC28" s="2">
        <v>10</v>
      </c>
      <c r="DD28" s="2">
        <v>18</v>
      </c>
      <c r="DE28" s="2">
        <v>24</v>
      </c>
      <c r="DF28" s="2">
        <v>26</v>
      </c>
      <c r="DG28" s="2">
        <v>34</v>
      </c>
      <c r="DH28" s="2">
        <v>42</v>
      </c>
      <c r="DI28" s="2">
        <v>48</v>
      </c>
      <c r="DJ28" s="2">
        <v>50</v>
      </c>
      <c r="DK28" s="2">
        <v>58</v>
      </c>
      <c r="DL28" s="2">
        <v>66</v>
      </c>
      <c r="DM28" s="2">
        <v>74</v>
      </c>
      <c r="DN28" s="2" t="e">
        <f t="shared" si="475"/>
        <v>#VALUE!</v>
      </c>
      <c r="DO28" s="2" t="e">
        <f t="shared" si="476"/>
        <v>#VALUE!</v>
      </c>
      <c r="DP28" s="2" t="e">
        <f t="shared" si="477"/>
        <v>#VALUE!</v>
      </c>
      <c r="DQ28" s="2" t="e">
        <f t="shared" si="478"/>
        <v>#VALUE!</v>
      </c>
      <c r="DR28" s="2" t="e">
        <f t="shared" si="479"/>
        <v>#VALUE!</v>
      </c>
      <c r="DS28" s="2" t="e">
        <f t="shared" si="480"/>
        <v>#VALUE!</v>
      </c>
      <c r="DT28" s="2" t="e">
        <f t="shared" si="481"/>
        <v>#VALUE!</v>
      </c>
      <c r="DU28" s="2" t="e">
        <f t="shared" si="482"/>
        <v>#VALUE!</v>
      </c>
      <c r="DV28" s="2" t="e">
        <f t="shared" si="483"/>
        <v>#VALUE!</v>
      </c>
      <c r="DW28" s="2" t="e">
        <f t="shared" si="484"/>
        <v>#VALUE!</v>
      </c>
      <c r="DX28" s="2" t="e">
        <f t="shared" si="485"/>
        <v>#VALUE!</v>
      </c>
      <c r="DY28" s="2" t="e">
        <f t="shared" si="486"/>
        <v>#VALUE!</v>
      </c>
      <c r="DZ28" s="2" t="e">
        <f t="shared" si="487"/>
        <v>#VALUE!</v>
      </c>
      <c r="EA28" s="73" t="e">
        <f t="shared" si="488"/>
        <v>#VALUE!</v>
      </c>
      <c r="EB28" s="75" t="e">
        <f t="array" ref="EB28:EC28">LOGEST(DN28:EA28,CZ28:DM28,TRUE,TRUE)</f>
        <v>#VALUE!</v>
      </c>
      <c r="EC28" s="75" t="e">
        <v>#VALUE!</v>
      </c>
      <c r="ED28" s="2" t="e">
        <f t="shared" si="489"/>
        <v>#VALUE!</v>
      </c>
      <c r="EE28" s="2" t="e">
        <f t="shared" si="490"/>
        <v>#VALUE!</v>
      </c>
      <c r="EF28" s="17" t="e">
        <f t="shared" si="491"/>
        <v>#VALUE!</v>
      </c>
      <c r="EG28" s="2" t="e">
        <f t="shared" si="492"/>
        <v>#VALUE!</v>
      </c>
      <c r="EH28" s="2" t="e">
        <f t="shared" si="493"/>
        <v>#VALUE!</v>
      </c>
      <c r="EI28" s="2" t="e">
        <f t="shared" si="494"/>
        <v>#VALUE!</v>
      </c>
      <c r="EJ28" s="2" t="e">
        <f t="shared" si="495"/>
        <v>#VALUE!</v>
      </c>
      <c r="EK28" s="2">
        <f t="shared" si="496"/>
        <v>0</v>
      </c>
      <c r="EL28" s="12" t="str">
        <f t="shared" si="497"/>
        <v/>
      </c>
      <c r="EM28" s="12" t="str">
        <f t="shared" si="498"/>
        <v/>
      </c>
      <c r="EN28" s="12" t="str">
        <f t="shared" si="499"/>
        <v/>
      </c>
      <c r="EO28" s="12" t="str">
        <f t="shared" si="500"/>
        <v/>
      </c>
      <c r="EP28" s="12" t="str">
        <f t="shared" si="501"/>
        <v/>
      </c>
      <c r="EQ28" s="35" t="e">
        <f t="array" ref="EQ28:ER28">LOGEST(EG28:EI28, EL28:EN28, TRUE, TRUE)</f>
        <v>#VALUE!</v>
      </c>
      <c r="ER28" s="35" t="e">
        <v>#VALUE!</v>
      </c>
      <c r="ES28" s="53">
        <v>0</v>
      </c>
      <c r="ET28" s="53">
        <v>2</v>
      </c>
      <c r="EU28" s="53">
        <v>4</v>
      </c>
      <c r="EV28" s="53">
        <v>10</v>
      </c>
      <c r="EW28" s="53">
        <v>18</v>
      </c>
      <c r="EX28" s="53">
        <v>24</v>
      </c>
      <c r="EY28" s="53">
        <v>26</v>
      </c>
      <c r="EZ28" s="53">
        <v>34</v>
      </c>
      <c r="FA28" s="53">
        <v>42</v>
      </c>
      <c r="FB28" s="53">
        <v>48</v>
      </c>
      <c r="FC28" s="53">
        <v>50</v>
      </c>
      <c r="FD28" s="53">
        <v>58</v>
      </c>
      <c r="FE28" s="53">
        <v>66</v>
      </c>
      <c r="FF28" s="53">
        <v>72</v>
      </c>
      <c r="FG28" s="53">
        <v>78</v>
      </c>
      <c r="FH28" s="53">
        <v>84</v>
      </c>
      <c r="FI28" s="53">
        <v>90</v>
      </c>
      <c r="FJ28" s="53">
        <v>96</v>
      </c>
      <c r="FK28" s="54" t="e">
        <f t="shared" si="502"/>
        <v>#VALUE!</v>
      </c>
      <c r="FL28" s="54" t="e">
        <f t="shared" si="503"/>
        <v>#VALUE!</v>
      </c>
      <c r="FM28" s="54" t="e">
        <f t="shared" si="504"/>
        <v>#VALUE!</v>
      </c>
      <c r="FN28" s="54" t="e">
        <f t="shared" si="505"/>
        <v>#VALUE!</v>
      </c>
      <c r="FO28" s="54" t="e">
        <f t="shared" si="506"/>
        <v>#VALUE!</v>
      </c>
      <c r="FP28" s="54" t="e">
        <f t="shared" si="507"/>
        <v>#VALUE!</v>
      </c>
      <c r="FQ28" s="54" t="e">
        <f t="shared" si="508"/>
        <v>#VALUE!</v>
      </c>
      <c r="FR28" s="54" t="e">
        <f t="shared" si="509"/>
        <v>#VALUE!</v>
      </c>
      <c r="FS28" s="54" t="e">
        <f t="shared" si="510"/>
        <v>#VALUE!</v>
      </c>
      <c r="FT28" s="54" t="e">
        <f t="shared" si="511"/>
        <v>#VALUE!</v>
      </c>
      <c r="FU28" s="54" t="e">
        <f t="shared" si="512"/>
        <v>#VALUE!</v>
      </c>
      <c r="FV28" s="54" t="e">
        <f t="shared" si="513"/>
        <v>#VALUE!</v>
      </c>
      <c r="FW28" s="54" t="e">
        <f t="shared" si="514"/>
        <v>#VALUE!</v>
      </c>
      <c r="FX28" s="54" t="e">
        <f t="shared" si="515"/>
        <v>#VALUE!</v>
      </c>
      <c r="FY28" s="54" t="e">
        <f t="shared" si="516"/>
        <v>#VALUE!</v>
      </c>
      <c r="FZ28" s="54" t="e">
        <f t="shared" si="517"/>
        <v>#VALUE!</v>
      </c>
      <c r="GA28" s="54" t="e">
        <f t="shared" si="518"/>
        <v>#VALUE!</v>
      </c>
      <c r="GB28" s="77" t="e">
        <f t="shared" si="519"/>
        <v>#VALUE!</v>
      </c>
      <c r="GC28" s="75" t="e">
        <f t="array" ref="GC28:GD28">LOGEST(FK28:GB28, ES28:FJ28, TRUE, TRUE)</f>
        <v>#VALUE!</v>
      </c>
      <c r="GD28" s="75" t="e">
        <v>#VALUE!</v>
      </c>
      <c r="GE28" s="2" t="e">
        <f t="shared" si="520"/>
        <v>#VALUE!</v>
      </c>
      <c r="GF28" s="2" t="e">
        <f t="shared" si="521"/>
        <v>#VALUE!</v>
      </c>
      <c r="GG28" s="2" t="e">
        <f>(GF28*DATA!$B$3)/(DATA!$B$3+GF28)</f>
        <v>#VALUE!</v>
      </c>
      <c r="GH28" s="17" t="e">
        <f t="shared" si="522"/>
        <v>#VALUE!</v>
      </c>
      <c r="GI28" s="96" t="e">
        <f>DATA!$B$6/DW28</f>
        <v>#VALUE!</v>
      </c>
      <c r="GJ28" s="96"/>
      <c r="GK28" s="2" t="e">
        <f t="shared" si="523"/>
        <v>#DIV/0!</v>
      </c>
      <c r="GL28" s="2" t="e">
        <f>GK28*EF28 + GH28*DATA!$B$8</f>
        <v>#DIV/0!</v>
      </c>
      <c r="GM28" s="96" t="e">
        <f>DATA!$B$7/GL28</f>
        <v>#DIV/0!</v>
      </c>
      <c r="GN28" s="96"/>
      <c r="GO28" s="93" t="e">
        <f t="shared" si="524"/>
        <v>#VALUE!</v>
      </c>
      <c r="GP28" s="51" t="e">
        <f t="shared" si="525"/>
        <v>#VALUE!</v>
      </c>
      <c r="GQ28" s="93" t="e">
        <f t="shared" si="526"/>
        <v>#DIV/0!</v>
      </c>
      <c r="GR28" s="51" t="e">
        <f t="shared" si="527"/>
        <v>#DIV/0!</v>
      </c>
      <c r="GS28" s="1"/>
      <c r="GT28" s="1"/>
      <c r="GU28" s="1"/>
      <c r="GV28" s="57">
        <f t="shared" si="528"/>
        <v>0</v>
      </c>
      <c r="GW28" s="2" t="str">
        <f t="shared" si="236"/>
        <v/>
      </c>
      <c r="GX28" s="1"/>
      <c r="GY28" s="2" t="str">
        <f t="shared" si="331"/>
        <v/>
      </c>
      <c r="GZ28" s="2" t="str">
        <f t="shared" si="332"/>
        <v/>
      </c>
      <c r="HA28" s="1"/>
      <c r="HB28" s="1"/>
      <c r="HC28" s="1"/>
      <c r="HD28" s="57">
        <f t="shared" si="529"/>
        <v>0</v>
      </c>
      <c r="HE28" s="2" t="str">
        <f t="shared" si="530"/>
        <v/>
      </c>
      <c r="HF28" s="1"/>
      <c r="HG28" s="1"/>
      <c r="HH28" s="1"/>
      <c r="HI28" s="57">
        <f t="shared" si="531"/>
        <v>0</v>
      </c>
      <c r="HJ28" s="2" t="str">
        <f t="shared" si="532"/>
        <v/>
      </c>
      <c r="HK28" s="1"/>
      <c r="HL28" s="1"/>
      <c r="HM28" s="1"/>
      <c r="HN28" s="57">
        <f t="shared" si="533"/>
        <v>0</v>
      </c>
      <c r="HO28" s="2" t="str">
        <f t="shared" si="534"/>
        <v/>
      </c>
      <c r="HP28" s="1"/>
      <c r="HQ28" s="1"/>
      <c r="HR28" s="1"/>
      <c r="HS28" s="57">
        <f t="shared" si="535"/>
        <v>0</v>
      </c>
      <c r="HT28" s="2">
        <f t="shared" si="536"/>
        <v>0</v>
      </c>
      <c r="HU28" s="72" t="str">
        <f t="shared" si="537"/>
        <v/>
      </c>
      <c r="HV28" s="72" t="str">
        <f t="shared" si="538"/>
        <v/>
      </c>
      <c r="HW28" s="72" t="str">
        <f t="shared" si="539"/>
        <v/>
      </c>
      <c r="HX28" s="72" t="str">
        <f t="shared" si="540"/>
        <v/>
      </c>
      <c r="HY28" s="72">
        <f t="shared" si="541"/>
        <v>0</v>
      </c>
      <c r="HZ28" s="2" t="e">
        <f t="shared" si="542"/>
        <v>#VALUE!</v>
      </c>
      <c r="IA28" s="2" t="e">
        <f t="shared" si="543"/>
        <v>#VALUE!</v>
      </c>
      <c r="IB28" s="2" t="e">
        <f t="shared" si="544"/>
        <v>#VALUE!</v>
      </c>
      <c r="IC28" s="2" t="e">
        <f t="shared" si="545"/>
        <v>#VALUE!</v>
      </c>
      <c r="ID28" s="2" t="e">
        <f t="shared" si="546"/>
        <v>#VALUE!</v>
      </c>
      <c r="IE28" s="14" t="e">
        <f>HZ28*EXP(DATA!$B$4*'Inputs-new'!HU28)</f>
        <v>#VALUE!</v>
      </c>
      <c r="IF28" s="14" t="e">
        <f>IA28*EXP(DATA!$B$4*'Inputs-new'!HV28)</f>
        <v>#VALUE!</v>
      </c>
      <c r="IG28" s="14" t="e">
        <f>IB28*EXP(DATA!$B$4*'Inputs-new'!HW28)</f>
        <v>#VALUE!</v>
      </c>
      <c r="IH28" s="14" t="e">
        <f>IC28*EXP(DATA!$B$4*'Inputs-new'!HX28)</f>
        <v>#VALUE!</v>
      </c>
      <c r="II28" s="14" t="e">
        <f>ID28*EXP(DATA!$B$4*'Inputs-new'!HY28)</f>
        <v>#VALUE!</v>
      </c>
      <c r="IJ28" s="2" t="e">
        <f t="array" ref="IJ28:IK28">LOGEST(IF28:IH28, HV28:HX28, TRUE, FALSE)</f>
        <v>#VALUE!</v>
      </c>
      <c r="IK28" s="2" t="e">
        <v>#VALUE!</v>
      </c>
      <c r="IL28" s="2" t="e">
        <f t="shared" si="675"/>
        <v>#VALUE!</v>
      </c>
      <c r="IM28" s="2" t="e">
        <f t="shared" si="560"/>
        <v>#VALUE!</v>
      </c>
      <c r="IN28" s="2" t="e">
        <f>(IM28*DATA!$B$3)/(DATA!$B$3+'Inputs-new'!IM28)</f>
        <v>#VALUE!</v>
      </c>
      <c r="IO28" s="2" t="e">
        <f t="shared" si="547"/>
        <v>#VALUE!</v>
      </c>
      <c r="IP28" s="2" t="e">
        <f t="shared" si="548"/>
        <v>#VALUE!</v>
      </c>
      <c r="IQ28" s="2" t="e">
        <f t="shared" si="549"/>
        <v>#VALUE!</v>
      </c>
      <c r="IR28" s="2" t="e">
        <f t="shared" si="550"/>
        <v>#VALUE!</v>
      </c>
      <c r="IS28" s="2" t="e">
        <f t="shared" si="551"/>
        <v>#VALUE!</v>
      </c>
      <c r="IT28" s="63" t="e">
        <f t="shared" si="552"/>
        <v>#VALUE!</v>
      </c>
      <c r="IU28" s="2" t="e">
        <f t="shared" si="553"/>
        <v>#VALUE!</v>
      </c>
      <c r="IV28" s="72" t="e">
        <f t="shared" si="554"/>
        <v>#VALUE!</v>
      </c>
    </row>
    <row r="29" spans="1:256" ht="15.75" thickBot="1" x14ac:dyDescent="0.3">
      <c r="A29" s="1"/>
      <c r="B29" s="1"/>
      <c r="C29" s="1"/>
      <c r="D29" s="46"/>
      <c r="E29" s="1"/>
      <c r="F29" s="1"/>
      <c r="G29" s="2"/>
      <c r="H29" s="1"/>
      <c r="I29" s="63" t="e">
        <f>Z29*EXP(DATA!$B$4*Y29)</f>
        <v>#VALUE!</v>
      </c>
      <c r="J29" s="63" t="e">
        <f>AA29*EXP(DATA!$B$5*'Inputs-new'!Y29)</f>
        <v>#VALUE!</v>
      </c>
      <c r="K29" s="1"/>
      <c r="L29" s="48"/>
      <c r="M29" s="48"/>
      <c r="N29" s="1"/>
      <c r="O29" s="48"/>
      <c r="P29" s="1"/>
      <c r="Q29" s="1"/>
      <c r="R29" s="1"/>
      <c r="S29" s="2" t="e">
        <f t="shared" si="447"/>
        <v>#DIV/0!</v>
      </c>
      <c r="T29" s="13">
        <f>Q29*EXP((O29-M29)*24*DATA!$B$4)</f>
        <v>0</v>
      </c>
      <c r="U29" s="20" t="e">
        <f t="shared" si="448"/>
        <v>#DIV/0!</v>
      </c>
      <c r="V29" s="48"/>
      <c r="W29" s="1"/>
      <c r="X29" s="1"/>
      <c r="Y29" s="19" t="str">
        <f t="shared" si="555"/>
        <v/>
      </c>
      <c r="Z29" s="19" t="str">
        <f t="shared" si="556"/>
        <v/>
      </c>
      <c r="AA29" s="17" t="str">
        <f>IF(Z29 = "", "", Z29*EXP(Y29*DATA!$B$4)*EXP(-DATA!$B$5*'Inputs-new'!Y29))</f>
        <v/>
      </c>
      <c r="AB29" s="48"/>
      <c r="AC29" s="1"/>
      <c r="AD29" s="1"/>
      <c r="AE29" s="19" t="str">
        <f t="shared" si="557"/>
        <v/>
      </c>
      <c r="AF29" s="19" t="str">
        <f t="shared" si="558"/>
        <v/>
      </c>
      <c r="AG29" s="17" t="str">
        <f>IF(AF29 = "", "", AF29*EXP(AE29*DATA!$B$4)*EXP(-DATA!$B$5*'Inputs-new'!AE29))</f>
        <v/>
      </c>
      <c r="AH29" s="48"/>
      <c r="AI29" s="1"/>
      <c r="AJ29" s="1"/>
      <c r="AK29" s="19" t="str">
        <f t="shared" si="449"/>
        <v/>
      </c>
      <c r="AL29" s="19" t="str">
        <f t="shared" si="450"/>
        <v/>
      </c>
      <c r="AM29" s="17" t="str">
        <f>IF(AL29 = "", "", AL29*EXP(AK29*DATA!$B$4)*EXP(-DATA!$B$5*'Inputs-new'!AK29))</f>
        <v/>
      </c>
      <c r="AN29" s="48"/>
      <c r="AO29" s="1"/>
      <c r="AP29" s="1"/>
      <c r="AQ29" s="19" t="str">
        <f t="shared" si="451"/>
        <v/>
      </c>
      <c r="AR29" s="19" t="str">
        <f t="shared" si="452"/>
        <v/>
      </c>
      <c r="AS29" s="17" t="str">
        <f>IF(AR29 = "", "", AR29*EXP(AQ29*DATA!$B$4)*EXP(-DATA!$B$5*'Inputs-new'!AQ29))</f>
        <v/>
      </c>
      <c r="AT29" s="1"/>
      <c r="AU29" s="1"/>
      <c r="AV29" s="1"/>
      <c r="AW29" s="19"/>
      <c r="AX29" s="19"/>
      <c r="AY29" s="17"/>
      <c r="AZ29" s="80"/>
      <c r="BA29" s="80"/>
      <c r="BB29" s="1"/>
      <c r="BC29" s="63" t="str">
        <f t="shared" si="453"/>
        <v/>
      </c>
      <c r="BD29" s="12" t="str">
        <f>IF(BB29 = "", "", BB29*EXP(DATA!$B$4*(BA29-AZ29)*24))</f>
        <v/>
      </c>
      <c r="BE29" s="12" t="str">
        <f>IF(BD29 = "", "", BD29*EXP(BC29*DATA!$B$4)*EXP(-BC29*DATA!$B$5))</f>
        <v/>
      </c>
      <c r="BF29" s="14" t="e">
        <f t="shared" si="454"/>
        <v>#VALUE!</v>
      </c>
      <c r="BG29" s="14" t="e">
        <f t="shared" si="455"/>
        <v>#VALUE!</v>
      </c>
      <c r="BH29" s="16"/>
      <c r="BI29" s="16"/>
      <c r="BJ29" s="1"/>
      <c r="BK29" s="63" t="str">
        <f t="shared" si="456"/>
        <v/>
      </c>
      <c r="BL29" s="12" t="str">
        <f>IF(BJ29 = "", "", BJ29*EXP(DATA!$B$4*(BI29-BH29)*24))</f>
        <v/>
      </c>
      <c r="BM29" s="12" t="str">
        <f>IF(BL29 = "", "", BL29*EXP(BK29*DATA!$B$4)*EXP(-BK29*DATA!$B$5))</f>
        <v/>
      </c>
      <c r="BN29" s="14" t="e">
        <f t="shared" si="457"/>
        <v>#VALUE!</v>
      </c>
      <c r="BO29" s="14" t="e">
        <f t="shared" si="458"/>
        <v>#VALUE!</v>
      </c>
      <c r="BP29" s="16"/>
      <c r="BQ29" s="16"/>
      <c r="BR29" s="1"/>
      <c r="BS29" s="2" t="str">
        <f t="shared" si="459"/>
        <v/>
      </c>
      <c r="BT29" s="12" t="str">
        <f>IF(BR29 = "", "", BR29*EXP(DATA!$B$4*(BQ29-BP29)*24))</f>
        <v/>
      </c>
      <c r="BU29" s="12" t="str">
        <f>IF(BT29 = "", "", BT29*EXP(BS29*DATA!$B$4)*EXP(-BS29*DATA!$B$5))</f>
        <v/>
      </c>
      <c r="BV29" s="14" t="e">
        <f t="shared" si="460"/>
        <v>#VALUE!</v>
      </c>
      <c r="BW29" s="2" t="e">
        <f t="shared" si="461"/>
        <v>#VALUE!</v>
      </c>
      <c r="BX29" s="16"/>
      <c r="BY29" s="16"/>
      <c r="BZ29" s="1"/>
      <c r="CA29" s="12" t="str">
        <f t="shared" si="462"/>
        <v/>
      </c>
      <c r="CB29" s="12" t="str">
        <f>IF(BZ29 = "", "", BZ29*EXP(DATA!$B$4*(BY29-BX29)*24))</f>
        <v/>
      </c>
      <c r="CC29" s="12" t="str">
        <f>IF(CB29 = "", "", CB29*EXP(CA29*DATA!$B$4)*EXP(-CA29*DATA!$B$5))</f>
        <v/>
      </c>
      <c r="CD29" s="14" t="e">
        <f t="shared" si="463"/>
        <v>#VALUE!</v>
      </c>
      <c r="CE29" s="60" t="e">
        <f t="shared" si="464"/>
        <v>#VALUE!</v>
      </c>
      <c r="CF29" s="16"/>
      <c r="CG29" s="16"/>
      <c r="CH29" s="1"/>
      <c r="CI29" s="12" t="str">
        <f t="shared" si="559"/>
        <v/>
      </c>
      <c r="CJ29" s="12"/>
      <c r="CK29" s="12"/>
      <c r="CL29" s="61"/>
      <c r="CM29" s="62"/>
      <c r="CN29" s="41" t="str">
        <f t="shared" si="465"/>
        <v/>
      </c>
      <c r="CO29" s="42" t="str">
        <f t="shared" si="466"/>
        <v/>
      </c>
      <c r="CP29" s="42" t="str">
        <f t="shared" si="467"/>
        <v/>
      </c>
      <c r="CQ29" s="42" t="str">
        <f t="shared" si="468"/>
        <v/>
      </c>
      <c r="CR29" s="42">
        <f t="shared" si="469"/>
        <v>0</v>
      </c>
      <c r="CS29" s="42" t="str">
        <f t="shared" si="470"/>
        <v/>
      </c>
      <c r="CT29" s="42" t="str">
        <f t="shared" si="471"/>
        <v/>
      </c>
      <c r="CU29" s="42" t="str">
        <f t="shared" si="472"/>
        <v/>
      </c>
      <c r="CV29" s="42" t="str">
        <f t="shared" si="473"/>
        <v/>
      </c>
      <c r="CW29" s="42">
        <f t="shared" si="474"/>
        <v>0</v>
      </c>
      <c r="CX29" s="75" t="e">
        <f t="array" ref="CX29:CY29">LOGEST(CN29:CO29,CS29:CT29,TRUE,TRUE)</f>
        <v>#VALUE!</v>
      </c>
      <c r="CY29" s="75" t="e">
        <v>#VALUE!</v>
      </c>
      <c r="CZ29" s="76">
        <v>0</v>
      </c>
      <c r="DA29" s="2">
        <v>2</v>
      </c>
      <c r="DB29" s="2">
        <v>4</v>
      </c>
      <c r="DC29" s="2">
        <v>10</v>
      </c>
      <c r="DD29" s="2">
        <v>18</v>
      </c>
      <c r="DE29" s="2">
        <v>24</v>
      </c>
      <c r="DF29" s="2">
        <v>26</v>
      </c>
      <c r="DG29" s="2">
        <v>34</v>
      </c>
      <c r="DH29" s="2">
        <v>42</v>
      </c>
      <c r="DI29" s="2">
        <v>48</v>
      </c>
      <c r="DJ29" s="2">
        <v>50</v>
      </c>
      <c r="DK29" s="2">
        <v>58</v>
      </c>
      <c r="DL29" s="2">
        <v>66</v>
      </c>
      <c r="DM29" s="2">
        <v>74</v>
      </c>
      <c r="DN29" s="2" t="e">
        <f t="shared" si="475"/>
        <v>#VALUE!</v>
      </c>
      <c r="DO29" s="2" t="e">
        <f t="shared" si="476"/>
        <v>#VALUE!</v>
      </c>
      <c r="DP29" s="2" t="e">
        <f t="shared" si="477"/>
        <v>#VALUE!</v>
      </c>
      <c r="DQ29" s="2" t="e">
        <f t="shared" si="478"/>
        <v>#VALUE!</v>
      </c>
      <c r="DR29" s="2" t="e">
        <f t="shared" si="479"/>
        <v>#VALUE!</v>
      </c>
      <c r="DS29" s="2" t="e">
        <f t="shared" si="480"/>
        <v>#VALUE!</v>
      </c>
      <c r="DT29" s="2" t="e">
        <f t="shared" si="481"/>
        <v>#VALUE!</v>
      </c>
      <c r="DU29" s="2" t="e">
        <f t="shared" si="482"/>
        <v>#VALUE!</v>
      </c>
      <c r="DV29" s="2" t="e">
        <f t="shared" si="483"/>
        <v>#VALUE!</v>
      </c>
      <c r="DW29" s="2" t="e">
        <f t="shared" si="484"/>
        <v>#VALUE!</v>
      </c>
      <c r="DX29" s="2" t="e">
        <f t="shared" si="485"/>
        <v>#VALUE!</v>
      </c>
      <c r="DY29" s="2" t="e">
        <f t="shared" si="486"/>
        <v>#VALUE!</v>
      </c>
      <c r="DZ29" s="2" t="e">
        <f t="shared" si="487"/>
        <v>#VALUE!</v>
      </c>
      <c r="EA29" s="73" t="e">
        <f t="shared" si="488"/>
        <v>#VALUE!</v>
      </c>
      <c r="EB29" s="75" t="e">
        <f t="array" ref="EB29:EC29">LOGEST(DN29:EA29,CZ29:DM29,TRUE,TRUE)</f>
        <v>#VALUE!</v>
      </c>
      <c r="EC29" s="75" t="e">
        <v>#VALUE!</v>
      </c>
      <c r="ED29" s="2" t="e">
        <f t="shared" si="489"/>
        <v>#VALUE!</v>
      </c>
      <c r="EE29" s="2" t="e">
        <f t="shared" si="490"/>
        <v>#VALUE!</v>
      </c>
      <c r="EF29" s="17" t="e">
        <f t="shared" si="491"/>
        <v>#VALUE!</v>
      </c>
      <c r="EG29" s="2" t="e">
        <f t="shared" si="492"/>
        <v>#VALUE!</v>
      </c>
      <c r="EH29" s="2" t="e">
        <f t="shared" si="493"/>
        <v>#VALUE!</v>
      </c>
      <c r="EI29" s="2" t="e">
        <f t="shared" si="494"/>
        <v>#VALUE!</v>
      </c>
      <c r="EJ29" s="2" t="e">
        <f t="shared" si="495"/>
        <v>#VALUE!</v>
      </c>
      <c r="EK29" s="2">
        <f t="shared" si="496"/>
        <v>0</v>
      </c>
      <c r="EL29" s="12" t="str">
        <f t="shared" si="497"/>
        <v/>
      </c>
      <c r="EM29" s="12" t="str">
        <f t="shared" si="498"/>
        <v/>
      </c>
      <c r="EN29" s="12" t="str">
        <f t="shared" si="499"/>
        <v/>
      </c>
      <c r="EO29" s="12" t="str">
        <f t="shared" si="500"/>
        <v/>
      </c>
      <c r="EP29" s="12" t="str">
        <f t="shared" si="501"/>
        <v/>
      </c>
      <c r="EQ29" s="35" t="e">
        <f t="array" ref="EQ29:ER29">LOGEST(EG29:EI29, EL29:EN29, TRUE, TRUE)</f>
        <v>#VALUE!</v>
      </c>
      <c r="ER29" s="35" t="e">
        <v>#VALUE!</v>
      </c>
      <c r="ES29" s="53">
        <v>0</v>
      </c>
      <c r="ET29" s="53">
        <v>2</v>
      </c>
      <c r="EU29" s="53">
        <v>4</v>
      </c>
      <c r="EV29" s="53">
        <v>10</v>
      </c>
      <c r="EW29" s="53">
        <v>18</v>
      </c>
      <c r="EX29" s="53">
        <v>24</v>
      </c>
      <c r="EY29" s="53">
        <v>26</v>
      </c>
      <c r="EZ29" s="53">
        <v>34</v>
      </c>
      <c r="FA29" s="53">
        <v>42</v>
      </c>
      <c r="FB29" s="53">
        <v>48</v>
      </c>
      <c r="FC29" s="53">
        <v>50</v>
      </c>
      <c r="FD29" s="53">
        <v>58</v>
      </c>
      <c r="FE29" s="53">
        <v>66</v>
      </c>
      <c r="FF29" s="53">
        <v>72</v>
      </c>
      <c r="FG29" s="53">
        <v>78</v>
      </c>
      <c r="FH29" s="53">
        <v>84</v>
      </c>
      <c r="FI29" s="53">
        <v>90</v>
      </c>
      <c r="FJ29" s="53">
        <v>96</v>
      </c>
      <c r="FK29" s="54" t="e">
        <f t="shared" si="502"/>
        <v>#VALUE!</v>
      </c>
      <c r="FL29" s="54" t="e">
        <f t="shared" si="503"/>
        <v>#VALUE!</v>
      </c>
      <c r="FM29" s="54" t="e">
        <f t="shared" si="504"/>
        <v>#VALUE!</v>
      </c>
      <c r="FN29" s="54" t="e">
        <f t="shared" si="505"/>
        <v>#VALUE!</v>
      </c>
      <c r="FO29" s="54" t="e">
        <f t="shared" si="506"/>
        <v>#VALUE!</v>
      </c>
      <c r="FP29" s="54" t="e">
        <f t="shared" si="507"/>
        <v>#VALUE!</v>
      </c>
      <c r="FQ29" s="54" t="e">
        <f t="shared" si="508"/>
        <v>#VALUE!</v>
      </c>
      <c r="FR29" s="54" t="e">
        <f t="shared" si="509"/>
        <v>#VALUE!</v>
      </c>
      <c r="FS29" s="54" t="e">
        <f t="shared" si="510"/>
        <v>#VALUE!</v>
      </c>
      <c r="FT29" s="54" t="e">
        <f t="shared" si="511"/>
        <v>#VALUE!</v>
      </c>
      <c r="FU29" s="54" t="e">
        <f t="shared" si="512"/>
        <v>#VALUE!</v>
      </c>
      <c r="FV29" s="54" t="e">
        <f t="shared" si="513"/>
        <v>#VALUE!</v>
      </c>
      <c r="FW29" s="54" t="e">
        <f t="shared" si="514"/>
        <v>#VALUE!</v>
      </c>
      <c r="FX29" s="54" t="e">
        <f t="shared" si="515"/>
        <v>#VALUE!</v>
      </c>
      <c r="FY29" s="54" t="e">
        <f t="shared" si="516"/>
        <v>#VALUE!</v>
      </c>
      <c r="FZ29" s="54" t="e">
        <f t="shared" si="517"/>
        <v>#VALUE!</v>
      </c>
      <c r="GA29" s="54" t="e">
        <f t="shared" si="518"/>
        <v>#VALUE!</v>
      </c>
      <c r="GB29" s="77" t="e">
        <f t="shared" si="519"/>
        <v>#VALUE!</v>
      </c>
      <c r="GC29" s="75" t="e">
        <f t="array" ref="GC29:GD29">LOGEST(FK29:GB29, ES29:FJ29, TRUE, TRUE)</f>
        <v>#VALUE!</v>
      </c>
      <c r="GD29" s="75" t="e">
        <v>#VALUE!</v>
      </c>
      <c r="GE29" s="2" t="e">
        <f t="shared" si="520"/>
        <v>#VALUE!</v>
      </c>
      <c r="GF29" s="2" t="e">
        <f t="shared" si="521"/>
        <v>#VALUE!</v>
      </c>
      <c r="GG29" s="2" t="e">
        <f>(GF29*DATA!$B$3)/(DATA!$B$3+GF29)</f>
        <v>#VALUE!</v>
      </c>
      <c r="GH29" s="17" t="e">
        <f t="shared" si="522"/>
        <v>#VALUE!</v>
      </c>
      <c r="GI29" s="96" t="e">
        <f>DATA!$B$6/DW29</f>
        <v>#VALUE!</v>
      </c>
      <c r="GJ29" s="96"/>
      <c r="GK29" s="2" t="e">
        <f t="shared" si="523"/>
        <v>#DIV/0!</v>
      </c>
      <c r="GL29" s="2" t="e">
        <f>GK29*EF29 + GH29*DATA!$B$8</f>
        <v>#DIV/0!</v>
      </c>
      <c r="GM29" s="96" t="e">
        <f>DATA!$B$7/GL29</f>
        <v>#DIV/0!</v>
      </c>
      <c r="GN29" s="96"/>
      <c r="GO29" s="93" t="e">
        <f t="shared" si="524"/>
        <v>#VALUE!</v>
      </c>
      <c r="GP29" s="51" t="e">
        <f t="shared" si="525"/>
        <v>#VALUE!</v>
      </c>
      <c r="GQ29" s="93" t="e">
        <f t="shared" si="526"/>
        <v>#DIV/0!</v>
      </c>
      <c r="GR29" s="51" t="e">
        <f t="shared" si="527"/>
        <v>#DIV/0!</v>
      </c>
      <c r="GS29" s="1"/>
      <c r="GT29" s="1"/>
      <c r="GU29" s="1"/>
      <c r="GV29" s="57">
        <f t="shared" si="528"/>
        <v>0</v>
      </c>
      <c r="GW29" s="2" t="str">
        <f t="shared" si="236"/>
        <v/>
      </c>
      <c r="GX29" s="1"/>
      <c r="GY29" s="2" t="str">
        <f t="shared" si="331"/>
        <v/>
      </c>
      <c r="GZ29" s="2" t="str">
        <f t="shared" si="332"/>
        <v/>
      </c>
      <c r="HA29" s="1"/>
      <c r="HB29" s="1"/>
      <c r="HC29" s="1"/>
      <c r="HD29" s="57">
        <f t="shared" si="529"/>
        <v>0</v>
      </c>
      <c r="HE29" s="2" t="str">
        <f t="shared" si="530"/>
        <v/>
      </c>
      <c r="HF29" s="1"/>
      <c r="HG29" s="1"/>
      <c r="HH29" s="1"/>
      <c r="HI29" s="57">
        <f t="shared" si="531"/>
        <v>0</v>
      </c>
      <c r="HJ29" s="2" t="str">
        <f t="shared" si="532"/>
        <v/>
      </c>
      <c r="HK29" s="1"/>
      <c r="HL29" s="1"/>
      <c r="HM29" s="1"/>
      <c r="HN29" s="57">
        <f t="shared" si="533"/>
        <v>0</v>
      </c>
      <c r="HO29" s="2" t="str">
        <f t="shared" si="534"/>
        <v/>
      </c>
      <c r="HP29" s="1"/>
      <c r="HQ29" s="1"/>
      <c r="HR29" s="1"/>
      <c r="HS29" s="57">
        <f t="shared" si="535"/>
        <v>0</v>
      </c>
      <c r="HT29" s="2">
        <f t="shared" si="536"/>
        <v>0</v>
      </c>
      <c r="HU29" s="72" t="str">
        <f t="shared" si="537"/>
        <v/>
      </c>
      <c r="HV29" s="72" t="str">
        <f t="shared" si="538"/>
        <v/>
      </c>
      <c r="HW29" s="72" t="str">
        <f t="shared" si="539"/>
        <v/>
      </c>
      <c r="HX29" s="72" t="str">
        <f t="shared" si="540"/>
        <v/>
      </c>
      <c r="HY29" s="72">
        <f t="shared" si="541"/>
        <v>0</v>
      </c>
      <c r="HZ29" s="2" t="e">
        <f t="shared" si="542"/>
        <v>#VALUE!</v>
      </c>
      <c r="IA29" s="2" t="e">
        <f t="shared" si="543"/>
        <v>#VALUE!</v>
      </c>
      <c r="IB29" s="2" t="e">
        <f t="shared" si="544"/>
        <v>#VALUE!</v>
      </c>
      <c r="IC29" s="2" t="e">
        <f t="shared" si="545"/>
        <v>#VALUE!</v>
      </c>
      <c r="ID29" s="2" t="e">
        <f t="shared" si="546"/>
        <v>#VALUE!</v>
      </c>
      <c r="IE29" s="14" t="e">
        <f>HZ29*EXP(DATA!$B$4*'Inputs-new'!HU29)</f>
        <v>#VALUE!</v>
      </c>
      <c r="IF29" s="14" t="e">
        <f>IA29*EXP(DATA!$B$4*'Inputs-new'!HV29)</f>
        <v>#VALUE!</v>
      </c>
      <c r="IG29" s="14" t="e">
        <f>IB29*EXP(DATA!$B$4*'Inputs-new'!HW29)</f>
        <v>#VALUE!</v>
      </c>
      <c r="IH29" s="14" t="e">
        <f>IC29*EXP(DATA!$B$4*'Inputs-new'!HX29)</f>
        <v>#VALUE!</v>
      </c>
      <c r="II29" s="14" t="e">
        <f>ID29*EXP(DATA!$B$4*'Inputs-new'!HY29)</f>
        <v>#VALUE!</v>
      </c>
      <c r="IJ29" s="2" t="e">
        <f t="array" ref="IJ29:IK29">LOGEST(IF29:IH29, HV29:HX29, TRUE, FALSE)</f>
        <v>#VALUE!</v>
      </c>
      <c r="IK29" s="2" t="e">
        <v>#VALUE!</v>
      </c>
      <c r="IL29" s="2" t="e">
        <f t="shared" si="675"/>
        <v>#VALUE!</v>
      </c>
      <c r="IM29" s="2" t="e">
        <f t="shared" si="560"/>
        <v>#VALUE!</v>
      </c>
      <c r="IN29" s="2" t="e">
        <f>(IM29*DATA!$B$3)/(DATA!$B$3+'Inputs-new'!IM29)</f>
        <v>#VALUE!</v>
      </c>
      <c r="IO29" s="2" t="e">
        <f t="shared" si="547"/>
        <v>#VALUE!</v>
      </c>
      <c r="IP29" s="2" t="e">
        <f t="shared" si="548"/>
        <v>#VALUE!</v>
      </c>
      <c r="IQ29" s="2" t="e">
        <f t="shared" si="549"/>
        <v>#VALUE!</v>
      </c>
      <c r="IR29" s="2" t="e">
        <f t="shared" si="550"/>
        <v>#VALUE!</v>
      </c>
      <c r="IS29" s="2" t="e">
        <f t="shared" si="551"/>
        <v>#VALUE!</v>
      </c>
      <c r="IT29" s="63" t="e">
        <f t="shared" si="552"/>
        <v>#VALUE!</v>
      </c>
      <c r="IU29" s="2" t="e">
        <f t="shared" si="553"/>
        <v>#VALUE!</v>
      </c>
      <c r="IV29" s="72" t="e">
        <f t="shared" si="554"/>
        <v>#VALUE!</v>
      </c>
    </row>
    <row r="30" spans="1:256" x14ac:dyDescent="0.25">
      <c r="GO30" s="28"/>
      <c r="GQ30" s="28"/>
    </row>
    <row r="31" spans="1:256" x14ac:dyDescent="0.25">
      <c r="GK31">
        <f>IF(G26&lt;F26, 0.106*(G26), 0.106*F26)</f>
        <v>5.3</v>
      </c>
      <c r="GL31">
        <f>GK26*EF26 + GH26*DATA!$B$10</f>
        <v>0.35626889196442962</v>
      </c>
      <c r="GM31" s="96">
        <f>DATA!$B$7/GL31</f>
        <v>5.613737390801111</v>
      </c>
      <c r="GN31" s="96"/>
      <c r="GO31" s="28"/>
      <c r="GQ31" s="28"/>
    </row>
    <row r="32" spans="1:256" x14ac:dyDescent="0.25">
      <c r="GO32" s="28"/>
      <c r="GQ32" s="28"/>
    </row>
    <row r="33" spans="24:199" x14ac:dyDescent="0.25">
      <c r="X33">
        <f>AA23/AG23</f>
        <v>1.3368792314708682</v>
      </c>
      <c r="GO33" s="28"/>
      <c r="GQ33" s="28"/>
    </row>
    <row r="34" spans="24:199" x14ac:dyDescent="0.25">
      <c r="X34">
        <f>AA24/AG24</f>
        <v>1.9412474623151459</v>
      </c>
      <c r="GO34" s="28"/>
      <c r="GQ34" s="28"/>
    </row>
    <row r="35" spans="24:199" x14ac:dyDescent="0.25">
      <c r="GO35" s="28"/>
      <c r="GQ35" s="28"/>
    </row>
    <row r="36" spans="24:199" x14ac:dyDescent="0.25">
      <c r="GO36" s="28"/>
      <c r="GQ36" s="28"/>
    </row>
    <row r="37" spans="24:199" x14ac:dyDescent="0.25">
      <c r="GO37" s="28"/>
      <c r="GQ37" s="28"/>
    </row>
    <row r="38" spans="24:199" x14ac:dyDescent="0.25">
      <c r="GO38" s="28"/>
      <c r="GQ38" s="28"/>
    </row>
    <row r="39" spans="24:199" x14ac:dyDescent="0.25">
      <c r="GO39" s="28"/>
      <c r="GQ39" s="28"/>
    </row>
    <row r="40" spans="24:199" x14ac:dyDescent="0.25">
      <c r="GO40" s="28"/>
      <c r="GQ40" s="28"/>
    </row>
    <row r="41" spans="24:199" x14ac:dyDescent="0.25">
      <c r="GO41" s="28"/>
      <c r="GQ41" s="28"/>
    </row>
    <row r="42" spans="24:199" x14ac:dyDescent="0.25">
      <c r="GO42" s="28"/>
      <c r="GQ42" s="28"/>
    </row>
    <row r="43" spans="24:199" x14ac:dyDescent="0.25">
      <c r="GO43" s="28"/>
      <c r="GQ43" s="28"/>
    </row>
    <row r="44" spans="24:199" x14ac:dyDescent="0.25">
      <c r="GO44" s="28"/>
      <c r="GQ44" s="28"/>
    </row>
    <row r="45" spans="24:199" x14ac:dyDescent="0.25">
      <c r="GO45" s="28"/>
      <c r="GQ45" s="28"/>
    </row>
    <row r="46" spans="24:199" x14ac:dyDescent="0.25">
      <c r="GO46" s="28"/>
      <c r="GQ46" s="28"/>
    </row>
    <row r="47" spans="24:199" x14ac:dyDescent="0.25">
      <c r="GQ47" s="28"/>
    </row>
  </sheetData>
  <mergeCells count="59">
    <mergeCell ref="GI18:GJ18"/>
    <mergeCell ref="GM18:GN18"/>
    <mergeCell ref="GI8:GJ8"/>
    <mergeCell ref="GI16:GJ16"/>
    <mergeCell ref="GM16:GN16"/>
    <mergeCell ref="GI10:GJ10"/>
    <mergeCell ref="GI11:GJ11"/>
    <mergeCell ref="GI12:GJ12"/>
    <mergeCell ref="GM13:GN13"/>
    <mergeCell ref="GI14:GJ14"/>
    <mergeCell ref="GI2:GJ2"/>
    <mergeCell ref="GM2:GN2"/>
    <mergeCell ref="GI3:GJ3"/>
    <mergeCell ref="GM3:GN3"/>
    <mergeCell ref="GM5:GN5"/>
    <mergeCell ref="GI4:GJ4"/>
    <mergeCell ref="GM4:GN4"/>
    <mergeCell ref="GI5:GJ5"/>
    <mergeCell ref="GI6:GJ6"/>
    <mergeCell ref="GM6:GN6"/>
    <mergeCell ref="GI7:GJ7"/>
    <mergeCell ref="GM7:GN7"/>
    <mergeCell ref="GI9:GJ9"/>
    <mergeCell ref="GM9:GN9"/>
    <mergeCell ref="GI1:GJ1"/>
    <mergeCell ref="GM1:GN1"/>
    <mergeCell ref="GI19:GJ19"/>
    <mergeCell ref="GM19:GN19"/>
    <mergeCell ref="GI20:GJ20"/>
    <mergeCell ref="GM20:GN20"/>
    <mergeCell ref="GM10:GN10"/>
    <mergeCell ref="GM11:GN11"/>
    <mergeCell ref="GI17:GJ17"/>
    <mergeCell ref="GM17:GN17"/>
    <mergeCell ref="GM8:GN8"/>
    <mergeCell ref="GM15:GN15"/>
    <mergeCell ref="GM14:GN14"/>
    <mergeCell ref="GI15:GJ15"/>
    <mergeCell ref="GM12:GN12"/>
    <mergeCell ref="GI13:GJ13"/>
    <mergeCell ref="GI21:GJ21"/>
    <mergeCell ref="GM21:GN21"/>
    <mergeCell ref="GI23:GJ23"/>
    <mergeCell ref="GM23:GN23"/>
    <mergeCell ref="GI24:GJ24"/>
    <mergeCell ref="GM24:GN24"/>
    <mergeCell ref="GI22:GJ22"/>
    <mergeCell ref="GM22:GN22"/>
    <mergeCell ref="GI25:GJ25"/>
    <mergeCell ref="GM25:GN25"/>
    <mergeCell ref="GM31:GN31"/>
    <mergeCell ref="GI29:GJ29"/>
    <mergeCell ref="GM29:GN29"/>
    <mergeCell ref="GI26:GJ26"/>
    <mergeCell ref="GM26:GN26"/>
    <mergeCell ref="GI27:GJ27"/>
    <mergeCell ref="GM27:GN27"/>
    <mergeCell ref="GI28:GJ28"/>
    <mergeCell ref="GM28:GN2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9"/>
  <sheetViews>
    <sheetView workbookViewId="0">
      <selection activeCell="D5" sqref="D5"/>
    </sheetView>
  </sheetViews>
  <sheetFormatPr defaultRowHeight="15" x14ac:dyDescent="0.25"/>
  <cols>
    <col min="1" max="1" width="21.7109375" customWidth="1"/>
  </cols>
  <sheetData>
    <row r="5" spans="1:12" x14ac:dyDescent="0.25">
      <c r="A5" s="1">
        <f>3.52*7.32</f>
        <v>25.766400000000001</v>
      </c>
      <c r="B5" s="57" t="e">
        <f>#REF!</f>
        <v>#REF!</v>
      </c>
      <c r="C5" s="2" t="e">
        <f>#REF!</f>
        <v>#REF!</v>
      </c>
      <c r="D5" s="1">
        <v>10.5</v>
      </c>
      <c r="E5" s="2">
        <f>IF(D5 = "", "", 0.001 * 4/3 *3.14159265*(D5/2)^3)</f>
        <v>0.60613103190937512</v>
      </c>
      <c r="F5" s="2">
        <f>IF(A5 = "", "", A5/E5)</f>
        <v>42.50962026945426</v>
      </c>
      <c r="G5" s="1">
        <v>106.5</v>
      </c>
      <c r="H5" s="57" t="e">
        <f>#REF!</f>
        <v>#REF!</v>
      </c>
      <c r="I5" s="2" t="e">
        <f>#REF!</f>
        <v>#REF!</v>
      </c>
      <c r="J5" s="1">
        <f>1.84*11.8</f>
        <v>21.712000000000003</v>
      </c>
      <c r="K5" s="57" t="e">
        <f>#REF!</f>
        <v>#REF!</v>
      </c>
      <c r="L5" s="2" t="e">
        <f>#REF!</f>
        <v>#REF!</v>
      </c>
    </row>
    <row r="9" spans="1:12" x14ac:dyDescent="0.25">
      <c r="A9" t="s">
        <v>197</v>
      </c>
      <c r="B9" s="1">
        <f>1.84*13.2</f>
        <v>24.288</v>
      </c>
      <c r="C9" s="57" t="e">
        <f>#REF!</f>
        <v>#REF!</v>
      </c>
      <c r="D9" s="2" t="e">
        <f>#REF!</f>
        <v>#REF!</v>
      </c>
      <c r="E9" s="1">
        <v>10</v>
      </c>
      <c r="F9" s="2">
        <f>IF(E9 = "", "", 0.001 * 4/3 *3.14159265*(E9/2)^3)</f>
        <v>0.52359877500000007</v>
      </c>
      <c r="G9" s="2">
        <f>IF(B9 = "", "", B9/F9)</f>
        <v>46.386663146795932</v>
      </c>
      <c r="H9" s="1">
        <f>1.99*60.3</f>
        <v>119.997</v>
      </c>
      <c r="I9" s="57" t="e">
        <f>#REF!</f>
        <v>#REF!</v>
      </c>
      <c r="J9" s="2" t="e">
        <f>#REF!</f>
        <v>#REF!</v>
      </c>
      <c r="K9" s="1">
        <f>1.64*27.83</f>
        <v>45.641199999999998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D1048576"/>
    </sheetView>
  </sheetViews>
  <sheetFormatPr defaultRowHeight="15" x14ac:dyDescent="0.25"/>
  <cols>
    <col min="1" max="1" width="30.28515625" bestFit="1" customWidth="1"/>
    <col min="2" max="2" width="9.42578125" bestFit="1" customWidth="1"/>
  </cols>
  <sheetData>
    <row r="1" spans="1:5" x14ac:dyDescent="0.25">
      <c r="A1" s="6" t="s">
        <v>198</v>
      </c>
      <c r="B1" s="7" t="s">
        <v>199</v>
      </c>
      <c r="C1" s="6" t="s">
        <v>200</v>
      </c>
      <c r="D1" t="s">
        <v>201</v>
      </c>
    </row>
    <row r="2" spans="1:5" x14ac:dyDescent="0.25">
      <c r="A2" t="s">
        <v>202</v>
      </c>
      <c r="B2" s="8">
        <v>100.32</v>
      </c>
      <c r="C2" t="s">
        <v>203</v>
      </c>
    </row>
    <row r="3" spans="1:5" x14ac:dyDescent="0.25">
      <c r="A3" t="s">
        <v>204</v>
      </c>
      <c r="B3" s="9">
        <f>8.0252*24</f>
        <v>192.60480000000001</v>
      </c>
      <c r="C3" s="10" t="s">
        <v>203</v>
      </c>
    </row>
    <row r="4" spans="1:5" ht="17.25" x14ac:dyDescent="0.25">
      <c r="A4" t="s">
        <v>205</v>
      </c>
      <c r="B4" s="52">
        <f>LN(2)/B2</f>
        <v>6.9093618476868558E-3</v>
      </c>
      <c r="C4" s="10" t="s">
        <v>206</v>
      </c>
    </row>
    <row r="5" spans="1:5" ht="17.25" x14ac:dyDescent="0.25">
      <c r="A5" t="s">
        <v>207</v>
      </c>
      <c r="B5" s="10">
        <v>3.5988053286311935E-3</v>
      </c>
      <c r="C5" s="10" t="s">
        <v>206</v>
      </c>
    </row>
    <row r="6" spans="1:5" x14ac:dyDescent="0.25">
      <c r="A6" t="s">
        <v>208</v>
      </c>
      <c r="B6" s="28">
        <f>2.96</f>
        <v>2.96</v>
      </c>
      <c r="C6" s="28" t="s">
        <v>144</v>
      </c>
      <c r="E6">
        <f>3*EXP(-B4*48)*EXP(B5*48)</f>
        <v>2.5592278086748879</v>
      </c>
    </row>
    <row r="7" spans="1:5" x14ac:dyDescent="0.25">
      <c r="A7" t="s">
        <v>209</v>
      </c>
      <c r="B7" s="29">
        <v>2</v>
      </c>
      <c r="C7" s="29" t="s">
        <v>210</v>
      </c>
    </row>
    <row r="8" spans="1:5" x14ac:dyDescent="0.25">
      <c r="A8" t="s">
        <v>211</v>
      </c>
      <c r="B8">
        <v>108</v>
      </c>
      <c r="D8" s="83" t="s">
        <v>212</v>
      </c>
    </row>
    <row r="9" spans="1:5" x14ac:dyDescent="0.25">
      <c r="A9" t="s">
        <v>213</v>
      </c>
    </row>
    <row r="10" spans="1:5" x14ac:dyDescent="0.25">
      <c r="A10" t="s">
        <v>214</v>
      </c>
      <c r="B10">
        <v>61</v>
      </c>
    </row>
    <row r="11" spans="1:5" x14ac:dyDescent="0.25">
      <c r="A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zoomScale="85" zoomScaleNormal="85" workbookViewId="0">
      <selection activeCell="O4" sqref="O4"/>
    </sheetView>
  </sheetViews>
  <sheetFormatPr defaultRowHeight="15" x14ac:dyDescent="0.25"/>
  <cols>
    <col min="14" max="14" width="23.85546875" customWidth="1"/>
    <col min="15" max="17" width="17.140625" bestFit="1" customWidth="1"/>
    <col min="18" max="18" width="9.42578125" bestFit="1" customWidth="1"/>
  </cols>
  <sheetData>
    <row r="1" spans="1:25" x14ac:dyDescent="0.25">
      <c r="A1" t="s">
        <v>216</v>
      </c>
      <c r="B1" t="s">
        <v>200</v>
      </c>
    </row>
    <row r="2" spans="1:25" x14ac:dyDescent="0.25">
      <c r="A2">
        <v>11</v>
      </c>
      <c r="B2">
        <v>33100</v>
      </c>
      <c r="F2" t="s">
        <v>217</v>
      </c>
      <c r="G2" t="e">
        <f>#REF!</f>
        <v>#REF!</v>
      </c>
      <c r="H2" t="e">
        <f>#REF!</f>
        <v>#REF!</v>
      </c>
      <c r="I2" t="e">
        <f>#REF!</f>
        <v>#REF!</v>
      </c>
      <c r="J2" t="e">
        <f>#REF!</f>
        <v>#REF!</v>
      </c>
      <c r="N2" t="s">
        <v>218</v>
      </c>
      <c r="O2" s="29" t="e">
        <f>#REF!</f>
        <v>#REF!</v>
      </c>
      <c r="P2" s="29" t="e">
        <f>#REF!</f>
        <v>#REF!</v>
      </c>
      <c r="Q2" s="29" t="e">
        <f>#REF!</f>
        <v>#REF!</v>
      </c>
      <c r="R2" s="29" t="e">
        <f>#REF!</f>
        <v>#REF!</v>
      </c>
      <c r="V2" t="s">
        <v>217</v>
      </c>
      <c r="W2">
        <v>1.5666666665347293</v>
      </c>
      <c r="X2">
        <v>20.583333333197515</v>
      </c>
      <c r="Y2">
        <v>46.733333333220799</v>
      </c>
    </row>
    <row r="3" spans="1:25" x14ac:dyDescent="0.25">
      <c r="A3">
        <v>12</v>
      </c>
      <c r="B3">
        <v>47300</v>
      </c>
      <c r="G3" t="e">
        <f>#REF!</f>
        <v>#REF!</v>
      </c>
      <c r="H3" t="e">
        <f>#REF!</f>
        <v>#REF!</v>
      </c>
      <c r="I3" t="e">
        <f>#REF!</f>
        <v>#REF!</v>
      </c>
      <c r="J3" t="e">
        <f>#REF!</f>
        <v>#REF!</v>
      </c>
      <c r="K3" t="e">
        <f>#REF!</f>
        <v>#REF!</v>
      </c>
      <c r="N3" t="s">
        <v>219</v>
      </c>
      <c r="O3" s="10">
        <v>4.9806498021987815E-3</v>
      </c>
      <c r="P3" s="10">
        <v>2.094308194564974E-3</v>
      </c>
      <c r="Q3" s="10">
        <v>7.5807488201496472E-4</v>
      </c>
      <c r="R3" s="10"/>
      <c r="V3" t="s">
        <v>220</v>
      </c>
      <c r="W3">
        <v>63.175922101394789</v>
      </c>
      <c r="X3">
        <v>32.575699971467891</v>
      </c>
      <c r="Y3">
        <v>14.98623393302196</v>
      </c>
    </row>
    <row r="4" spans="1:25" x14ac:dyDescent="0.25">
      <c r="A4">
        <v>13</v>
      </c>
      <c r="B4">
        <v>69000</v>
      </c>
      <c r="N4" t="s">
        <v>221</v>
      </c>
      <c r="O4" s="70">
        <f>Sheet1!O3/'Inputs-new'!$H$8</f>
        <v>6.6488450169520521E-5</v>
      </c>
      <c r="P4" s="70">
        <f>Sheet1!P3/'Inputs-new'!$H$8</f>
        <v>2.7957658451007531E-5</v>
      </c>
      <c r="Q4" s="70">
        <f>Sheet1!Q3/'Inputs-new'!$H$8</f>
        <v>1.0119808864169867E-5</v>
      </c>
      <c r="V4" t="s">
        <v>222</v>
      </c>
      <c r="W4">
        <f>W3/'Inputs-new'!$J$8</f>
        <v>0.99437773606871005</v>
      </c>
      <c r="X4">
        <f>X3/'Inputs-new'!$J$8</f>
        <v>0.51273570232173349</v>
      </c>
      <c r="Y4">
        <f>Y3/'Inputs-new'!$J$8</f>
        <v>0.23588064684829435</v>
      </c>
    </row>
    <row r="5" spans="1:25" x14ac:dyDescent="0.25">
      <c r="A5">
        <v>14</v>
      </c>
      <c r="B5">
        <v>102000</v>
      </c>
    </row>
    <row r="6" spans="1:25" x14ac:dyDescent="0.25">
      <c r="A6">
        <v>15</v>
      </c>
      <c r="B6">
        <v>150000</v>
      </c>
    </row>
    <row r="7" spans="1:25" x14ac:dyDescent="0.25">
      <c r="A7">
        <v>16</v>
      </c>
      <c r="B7">
        <v>220000</v>
      </c>
    </row>
    <row r="9" spans="1:25" x14ac:dyDescent="0.25">
      <c r="A9">
        <f t="array" ref="A9:B9">LOGEST(B2:B7, A2:A7, TRUE, FALSE)</f>
        <v>1.4632756281161756</v>
      </c>
      <c r="B9">
        <v>495.30477015872742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C35"/>
  <sheetViews>
    <sheetView zoomScale="90" zoomScaleNormal="90" workbookViewId="0">
      <selection activeCell="F9" sqref="F9"/>
    </sheetView>
  </sheetViews>
  <sheetFormatPr defaultRowHeight="15" x14ac:dyDescent="0.25"/>
  <cols>
    <col min="1" max="1" width="17.42578125" customWidth="1"/>
    <col min="12" max="12" width="19" customWidth="1"/>
    <col min="13" max="17" width="11.42578125" bestFit="1" customWidth="1"/>
  </cols>
  <sheetData>
    <row r="2" spans="1:17" x14ac:dyDescent="0.25">
      <c r="A2" s="49" t="s">
        <v>223</v>
      </c>
      <c r="B2" t="s">
        <v>217</v>
      </c>
      <c r="C2" t="e">
        <f>#REF!</f>
        <v>#REF!</v>
      </c>
      <c r="D2" t="e">
        <f>#REF!</f>
        <v>#REF!</v>
      </c>
      <c r="E2" t="e">
        <f>#REF!</f>
        <v>#REF!</v>
      </c>
      <c r="F2" t="e">
        <f>#REF!</f>
        <v>#REF!</v>
      </c>
      <c r="G2" t="e">
        <f>#REF!</f>
        <v>#REF!</v>
      </c>
      <c r="K2" t="s">
        <v>224</v>
      </c>
      <c r="L2" t="s">
        <v>217</v>
      </c>
      <c r="M2" s="29" t="e">
        <f>#REF!</f>
        <v>#REF!</v>
      </c>
      <c r="N2" s="29" t="e">
        <f>#REF!</f>
        <v>#REF!</v>
      </c>
      <c r="O2" s="29" t="e">
        <f>#REF!</f>
        <v>#REF!</v>
      </c>
      <c r="P2" s="29" t="e">
        <f>#REF!</f>
        <v>#REF!</v>
      </c>
      <c r="Q2" s="29" t="e">
        <f>#REF!</f>
        <v>#REF!</v>
      </c>
    </row>
    <row r="3" spans="1:17" x14ac:dyDescent="0.25">
      <c r="B3" t="s">
        <v>225</v>
      </c>
      <c r="C3" t="e">
        <f>#REF!</f>
        <v>#REF!</v>
      </c>
      <c r="D3" t="e">
        <f>#REF!</f>
        <v>#REF!</v>
      </c>
      <c r="E3" t="e">
        <f>#REF!</f>
        <v>#REF!</v>
      </c>
      <c r="F3" t="e">
        <f>#REF!</f>
        <v>#REF!</v>
      </c>
      <c r="G3" t="e">
        <f>#REF!</f>
        <v>#REF!</v>
      </c>
      <c r="L3" t="s">
        <v>225</v>
      </c>
      <c r="M3" t="e">
        <f>#REF!</f>
        <v>#REF!</v>
      </c>
      <c r="N3" t="e">
        <f>#REF!</f>
        <v>#REF!</v>
      </c>
      <c r="O3" t="e">
        <f>#REF!</f>
        <v>#REF!</v>
      </c>
      <c r="P3" t="e">
        <f>#REF!</f>
        <v>#REF!</v>
      </c>
      <c r="Q3" t="e">
        <f>#REF!</f>
        <v>#REF!</v>
      </c>
    </row>
    <row r="4" spans="1:17" x14ac:dyDescent="0.25">
      <c r="B4" t="s">
        <v>226</v>
      </c>
      <c r="C4" t="e">
        <f>C3/($C$3*EXP(C2*DATA!$B$4))</f>
        <v>#REF!</v>
      </c>
      <c r="D4" t="e">
        <f>D3/($C$3*EXP(D2*DATA!$B$4))</f>
        <v>#REF!</v>
      </c>
      <c r="E4" t="e">
        <f>E3/($C$3*EXP(E2*DATA!$B$4))</f>
        <v>#REF!</v>
      </c>
      <c r="F4" t="e">
        <f>F3/($C$3*EXP(F2*DATA!$B$4))</f>
        <v>#REF!</v>
      </c>
      <c r="G4" t="e">
        <f>G3/($C$3*EXP(G2*DATA!$B$4))</f>
        <v>#REF!</v>
      </c>
      <c r="L4" t="s">
        <v>226</v>
      </c>
      <c r="M4" s="56" t="e">
        <f>M3/($C$3*EXP(M2*DATA!$B$4))</f>
        <v>#REF!</v>
      </c>
      <c r="N4" s="56" t="e">
        <f>N3/($C$3*EXP(N2*DATA!$B$4))</f>
        <v>#REF!</v>
      </c>
      <c r="O4" s="56" t="e">
        <f>O3/($C$3*EXP(O2*DATA!$B$4))</f>
        <v>#REF!</v>
      </c>
      <c r="P4" s="56" t="e">
        <f>P3/($C$3*EXP(P2*DATA!$B$4))</f>
        <v>#REF!</v>
      </c>
      <c r="Q4" s="56" t="e">
        <f>Q3/($C$3*EXP(Q2*DATA!$B$4))</f>
        <v>#REF!</v>
      </c>
    </row>
    <row r="6" spans="1:17" x14ac:dyDescent="0.25">
      <c r="A6" s="49" t="s">
        <v>227</v>
      </c>
      <c r="B6" t="s">
        <v>217</v>
      </c>
      <c r="C6" t="e">
        <f>#REF!</f>
        <v>#REF!</v>
      </c>
      <c r="D6" t="e">
        <f>#REF!</f>
        <v>#REF!</v>
      </c>
      <c r="E6" t="e">
        <f>#REF!</f>
        <v>#REF!</v>
      </c>
      <c r="F6" t="e">
        <f>#REF!</f>
        <v>#REF!</v>
      </c>
      <c r="G6" t="e">
        <f>#REF!</f>
        <v>#REF!</v>
      </c>
      <c r="K6" t="s">
        <v>228</v>
      </c>
      <c r="L6" t="s">
        <v>217</v>
      </c>
      <c r="M6" s="29" t="e">
        <f>#REF!</f>
        <v>#REF!</v>
      </c>
      <c r="N6" s="29" t="e">
        <f>#REF!</f>
        <v>#REF!</v>
      </c>
      <c r="O6" s="29" t="e">
        <f>#REF!</f>
        <v>#REF!</v>
      </c>
      <c r="P6" s="29" t="e">
        <f>#REF!</f>
        <v>#REF!</v>
      </c>
      <c r="Q6" s="29" t="e">
        <f>#REF!</f>
        <v>#REF!</v>
      </c>
    </row>
    <row r="7" spans="1:17" x14ac:dyDescent="0.25">
      <c r="B7" t="s">
        <v>225</v>
      </c>
      <c r="C7" t="e">
        <f>#REF!</f>
        <v>#REF!</v>
      </c>
      <c r="D7" t="e">
        <f>#REF!</f>
        <v>#REF!</v>
      </c>
      <c r="E7" t="e">
        <f>#REF!</f>
        <v>#REF!</v>
      </c>
      <c r="F7" t="e">
        <f>#REF!</f>
        <v>#REF!</v>
      </c>
      <c r="G7" t="e">
        <f>#REF!</f>
        <v>#REF!</v>
      </c>
      <c r="L7" t="s">
        <v>225</v>
      </c>
      <c r="M7" t="e">
        <f>#REF!</f>
        <v>#REF!</v>
      </c>
      <c r="N7" t="e">
        <f>#REF!</f>
        <v>#REF!</v>
      </c>
      <c r="O7" t="e">
        <f>#REF!</f>
        <v>#REF!</v>
      </c>
      <c r="P7" t="e">
        <f>#REF!</f>
        <v>#REF!</v>
      </c>
      <c r="Q7" t="e">
        <f>#REF!</f>
        <v>#REF!</v>
      </c>
    </row>
    <row r="8" spans="1:17" x14ac:dyDescent="0.25">
      <c r="C8" t="e">
        <f>C7/($C$7*EXP(C6*DATA!$B$4))</f>
        <v>#REF!</v>
      </c>
      <c r="D8" t="e">
        <f>D7/($C$7*EXP(D6*DATA!$B$4))</f>
        <v>#REF!</v>
      </c>
      <c r="E8" t="e">
        <f>E7/($C$7*EXP(E6*DATA!$B$4))</f>
        <v>#REF!</v>
      </c>
      <c r="F8" t="e">
        <f>F7/($C$7*EXP(F6*DATA!$B$4))</f>
        <v>#REF!</v>
      </c>
      <c r="G8" t="e">
        <f>G7/($C$7*EXP(G6*DATA!$B$4))</f>
        <v>#REF!</v>
      </c>
      <c r="L8" t="s">
        <v>226</v>
      </c>
      <c r="M8" s="55" t="e">
        <f>M7/($C$7*EXP(M6*DATA!$B$4))</f>
        <v>#REF!</v>
      </c>
      <c r="N8" s="55" t="e">
        <f>N7/($C$7*EXP(N6*DATA!$B$4))</f>
        <v>#REF!</v>
      </c>
      <c r="O8" s="55" t="e">
        <f>O7/($C$7*EXP(O6*DATA!$B$4))</f>
        <v>#REF!</v>
      </c>
      <c r="P8" s="55" t="e">
        <f>P7/($C$7*EXP(P6*DATA!$B$4))</f>
        <v>#REF!</v>
      </c>
      <c r="Q8" s="55" t="e">
        <f>Q7/($C$7*EXP(Q6*DATA!$B$4))</f>
        <v>#REF!</v>
      </c>
    </row>
    <row r="10" spans="1:17" x14ac:dyDescent="0.25">
      <c r="A10" t="s">
        <v>229</v>
      </c>
      <c r="B10" t="s">
        <v>217</v>
      </c>
      <c r="C10" t="e">
        <f>#REF!</f>
        <v>#REF!</v>
      </c>
      <c r="D10" t="e">
        <f>#REF!</f>
        <v>#REF!</v>
      </c>
      <c r="E10" t="e">
        <f>#REF!</f>
        <v>#REF!</v>
      </c>
      <c r="F10" t="e">
        <f>#REF!</f>
        <v>#REF!</v>
      </c>
    </row>
    <row r="11" spans="1:17" x14ac:dyDescent="0.25">
      <c r="B11" t="s">
        <v>225</v>
      </c>
      <c r="C11" t="e">
        <f>#REF!</f>
        <v>#REF!</v>
      </c>
      <c r="D11" t="e">
        <f>#REF!</f>
        <v>#REF!</v>
      </c>
      <c r="E11" t="e">
        <f>#REF!</f>
        <v>#REF!</v>
      </c>
      <c r="F11" t="e">
        <f>#REF!</f>
        <v>#REF!</v>
      </c>
    </row>
    <row r="12" spans="1:17" x14ac:dyDescent="0.25">
      <c r="B12" t="s">
        <v>226</v>
      </c>
      <c r="C12" t="e">
        <f>Sheet2!C11/#REF!</f>
        <v>#REF!</v>
      </c>
      <c r="D12" t="e">
        <f>Sheet2!D11/#REF!</f>
        <v>#REF!</v>
      </c>
      <c r="E12" t="e">
        <f>Sheet2!E11/#REF!</f>
        <v>#REF!</v>
      </c>
      <c r="F12" t="e">
        <f>Sheet2!F11/#REF!</f>
        <v>#REF!</v>
      </c>
    </row>
    <row r="26" spans="30:55" x14ac:dyDescent="0.25">
      <c r="AD26" s="1">
        <v>1.04</v>
      </c>
      <c r="AE26" s="1">
        <v>25.03</v>
      </c>
      <c r="AF26" s="1">
        <v>0.375</v>
      </c>
      <c r="AG26" s="57" t="e">
        <f>#REF!</f>
        <v>#REF!</v>
      </c>
      <c r="AH26" s="2" t="e">
        <f>#REF!</f>
        <v>#REF!</v>
      </c>
      <c r="AI26" s="1">
        <v>13.2</v>
      </c>
      <c r="AJ26" s="2">
        <f>IF(AI26 = "", "", 0.001 * 4/3 *3.14159265*(AI26/2)^3)</f>
        <v>1.2042604273392001</v>
      </c>
      <c r="AK26" s="2">
        <f>IF(AD26="","",((AD26-AF26)*AE26/AJ26))</f>
        <v>13.82171963980983</v>
      </c>
      <c r="AL26" s="1">
        <v>1.28</v>
      </c>
      <c r="AM26" s="1">
        <v>18.11</v>
      </c>
      <c r="AN26" s="1">
        <v>0.2</v>
      </c>
      <c r="AO26" s="57" t="e">
        <f>#REF!</f>
        <v>#REF!</v>
      </c>
      <c r="AP26" s="2" t="e">
        <f>#REF!</f>
        <v>#REF!</v>
      </c>
      <c r="AQ26" s="1">
        <v>0.82599999999999996</v>
      </c>
      <c r="AR26" s="1">
        <v>16.87</v>
      </c>
      <c r="AS26" s="1">
        <v>7.4999999999999997E-2</v>
      </c>
      <c r="AT26" s="57" t="e">
        <f>#REF!</f>
        <v>#REF!</v>
      </c>
      <c r="AU26" s="2" t="e">
        <f>#REF!</f>
        <v>#REF!</v>
      </c>
      <c r="AV26" s="1">
        <v>0.47510000000000002</v>
      </c>
      <c r="AW26" s="1">
        <v>19.61</v>
      </c>
      <c r="AX26" s="1">
        <v>2.7E-2</v>
      </c>
      <c r="AY26" s="57" t="e">
        <f>#REF!</f>
        <v>#REF!</v>
      </c>
      <c r="AZ26" s="2" t="e">
        <f>#REF!</f>
        <v>#REF!</v>
      </c>
      <c r="BA26" s="1">
        <v>0.39529999999999998</v>
      </c>
      <c r="BB26" s="1">
        <v>24.09</v>
      </c>
      <c r="BC26" s="1">
        <v>2.1999999999999999E-2</v>
      </c>
    </row>
    <row r="33" spans="1:14" x14ac:dyDescent="0.25">
      <c r="A33" t="s">
        <v>230</v>
      </c>
    </row>
    <row r="34" spans="1:14" x14ac:dyDescent="0.25">
      <c r="A34" t="e">
        <f>#REF!</f>
        <v>#REF!</v>
      </c>
      <c r="B34" t="e">
        <f>#REF!</f>
        <v>#REF!</v>
      </c>
      <c r="C34" t="e">
        <f>#REF!</f>
        <v>#REF!</v>
      </c>
      <c r="D34" t="e">
        <f>#REF!</f>
        <v>#REF!</v>
      </c>
      <c r="E34" t="e">
        <f>#REF!</f>
        <v>#REF!</v>
      </c>
      <c r="F34" t="e">
        <f>#REF!</f>
        <v>#REF!</v>
      </c>
      <c r="G34" t="e">
        <f>#REF!</f>
        <v>#REF!</v>
      </c>
      <c r="H34" t="e">
        <f>#REF!</f>
        <v>#REF!</v>
      </c>
      <c r="I34" t="e">
        <f>#REF!</f>
        <v>#REF!</v>
      </c>
      <c r="J34" t="e">
        <f>#REF!</f>
        <v>#REF!</v>
      </c>
      <c r="K34" t="e">
        <f>#REF!</f>
        <v>#REF!</v>
      </c>
      <c r="L34" t="e">
        <f>#REF!</f>
        <v>#REF!</v>
      </c>
      <c r="M34" t="e">
        <f>#REF!</f>
        <v>#REF!</v>
      </c>
      <c r="N34" t="e">
        <f>#REF!</f>
        <v>#REF!</v>
      </c>
    </row>
    <row r="35" spans="1:14" x14ac:dyDescent="0.25">
      <c r="A35" t="e">
        <f>#REF!</f>
        <v>#REF!</v>
      </c>
      <c r="B35" t="e">
        <f>#REF!</f>
        <v>#REF!</v>
      </c>
      <c r="C35" t="e">
        <f>#REF!</f>
        <v>#REF!</v>
      </c>
      <c r="D35" t="e">
        <f>#REF!</f>
        <v>#REF!</v>
      </c>
      <c r="E35" t="e">
        <f>#REF!</f>
        <v>#REF!</v>
      </c>
      <c r="F35" t="e">
        <f>#REF!</f>
        <v>#REF!</v>
      </c>
      <c r="G35" t="e">
        <f>#REF!</f>
        <v>#REF!</v>
      </c>
      <c r="H35" t="e">
        <f>#REF!</f>
        <v>#REF!</v>
      </c>
      <c r="I35" t="e">
        <f>#REF!</f>
        <v>#REF!</v>
      </c>
      <c r="J35" t="e">
        <f>#REF!</f>
        <v>#REF!</v>
      </c>
      <c r="K35" t="e">
        <f>#REF!</f>
        <v>#REF!</v>
      </c>
      <c r="L35" t="e">
        <f>#REF!</f>
        <v>#REF!</v>
      </c>
      <c r="M35" t="e">
        <f>#REF!</f>
        <v>#REF!</v>
      </c>
      <c r="N35" t="e">
        <f>#REF!</f>
        <v>#REF!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3" workbookViewId="0">
      <selection activeCell="B8" sqref="B8"/>
    </sheetView>
  </sheetViews>
  <sheetFormatPr defaultRowHeight="15" x14ac:dyDescent="0.25"/>
  <cols>
    <col min="1" max="1" width="19.7109375" customWidth="1"/>
    <col min="2" max="2" width="24.7109375" customWidth="1"/>
    <col min="3" max="3" width="20.42578125" customWidth="1"/>
  </cols>
  <sheetData>
    <row r="1" spans="1:11" x14ac:dyDescent="0.25">
      <c r="A1" t="s">
        <v>231</v>
      </c>
    </row>
    <row r="2" spans="1:11" x14ac:dyDescent="0.25">
      <c r="A2" t="s">
        <v>232</v>
      </c>
    </row>
    <row r="3" spans="1:11" x14ac:dyDescent="0.25">
      <c r="A3" t="s">
        <v>233</v>
      </c>
    </row>
    <row r="5" spans="1:11" x14ac:dyDescent="0.25">
      <c r="A5" t="s">
        <v>234</v>
      </c>
    </row>
    <row r="6" spans="1:11" x14ac:dyDescent="0.25">
      <c r="A6" t="s">
        <v>235</v>
      </c>
    </row>
    <row r="8" spans="1:11" x14ac:dyDescent="0.25">
      <c r="A8" t="s">
        <v>236</v>
      </c>
      <c r="B8" s="86" t="s">
        <v>291</v>
      </c>
    </row>
    <row r="10" spans="1:11" x14ac:dyDescent="0.25">
      <c r="A10" t="s">
        <v>237</v>
      </c>
      <c r="B10">
        <f>INDEX('Inputs-new'!GH:GH, MATCH(B8, 'Inputs-new'!B:B, 0)) *
 INDEX('Inputs-new'!J:J, MATCH(B8, 'Inputs-new'!B:B, 0)) * 60 * 60 /
INDEX('Inputs-new'!F:F, MATCH(B8, 'Inputs-new'!B:B, 0))</f>
        <v>8.9388050258490743</v>
      </c>
      <c r="C10" t="s">
        <v>238</v>
      </c>
      <c r="F10">
        <f>INDEX('Inputs-new'!FK:FK, MATCH(B8, 'Inputs-new'!B:B, 0)) *
 INDEX('Inputs-new'!GH:GH, MATCH(B8, 'Inputs-new'!B:B, 0)) *
 INDEX('Inputs-new'!J:J, MATCH(B8, 'Inputs-new'!B:B, 0)) * 60 * 60 /
INDEX('Inputs-new'!F:F, MATCH(B8, 'Inputs-new'!B:B, 0))</f>
        <v>4.5494483131050821E-4</v>
      </c>
    </row>
    <row r="11" spans="1:11" x14ac:dyDescent="0.25">
      <c r="A11" t="s">
        <v>239</v>
      </c>
      <c r="B11">
        <f>INDEX('Inputs-new'!EF:EF, MATCH(B8, 'Inputs-new'!B:B, 0)) *
 INDEX('Inputs-new'!J:J, MATCH(B8, 'Inputs-new'!B:B, 0)) * 60 * 60</f>
        <v>17130190.941079687</v>
      </c>
      <c r="C11" t="s">
        <v>240</v>
      </c>
      <c r="F11">
        <f>INDEX('Inputs-new'!DN:DN, MATCH(B8, 'Inputs-new'!B:B, 0)) *
 INDEX('Inputs-new'!EF:EF, MATCH(B8, 'Inputs-new'!B:B, 0)) *
 INDEX('Inputs-new'!J:J, MATCH(B8, 'Inputs-new'!B:B, 0)) * 60 * 60</f>
        <v>17590747.17579484</v>
      </c>
      <c r="K11" t="s">
        <v>287</v>
      </c>
    </row>
    <row r="12" spans="1:11" x14ac:dyDescent="0.25">
      <c r="A12" t="s">
        <v>241</v>
      </c>
      <c r="B12">
        <f>B15-B13</f>
        <v>55.612000000000002</v>
      </c>
      <c r="C12" t="s">
        <v>242</v>
      </c>
      <c r="D12" t="s">
        <v>243</v>
      </c>
    </row>
    <row r="13" spans="1:11" x14ac:dyDescent="0.25">
      <c r="A13" t="s">
        <v>244</v>
      </c>
      <c r="B13" s="90">
        <f>IF(INDEX('Inputs-new'!C:C, MATCH(B8, 'Inputs-new'!B:B, 0))="F",1.3,
      IF(INDEX('Inputs-new'!C:C, MATCH(B8, 'Inputs-new'!B:B, 0))="M",1.12,
        "Error in value for M or F" ) )</f>
        <v>1.3</v>
      </c>
      <c r="C13" t="s">
        <v>242</v>
      </c>
      <c r="D13" t="s">
        <v>245</v>
      </c>
    </row>
    <row r="14" spans="1:11" x14ac:dyDescent="0.25">
      <c r="A14" t="s">
        <v>246</v>
      </c>
      <c r="B14">
        <f>INDEX('Inputs-new'!F:F, MATCH(B8, 'Inputs-new'!B:B, 0))</f>
        <v>100.5</v>
      </c>
      <c r="C14" t="s">
        <v>242</v>
      </c>
      <c r="D14" t="s">
        <v>247</v>
      </c>
    </row>
    <row r="15" spans="1:11" x14ac:dyDescent="0.25">
      <c r="A15" t="s">
        <v>248</v>
      </c>
      <c r="B15">
        <f>IF(INDEX('Inputs-new'!C:C, MATCH(B8, 'Inputs-new'!B:B, 0))="F",56.912,
      IF(INDEX('Inputs-new'!C:C, MATCH(B8, 'Inputs-new'!B:B, 0))="M",73.7,
        "Error in value for M or F" ) )</f>
        <v>56.911999999999999</v>
      </c>
      <c r="C15" t="s">
        <v>242</v>
      </c>
      <c r="D15" t="s">
        <v>249</v>
      </c>
    </row>
    <row r="16" spans="1:11" x14ac:dyDescent="0.25">
      <c r="A16" t="s">
        <v>250</v>
      </c>
      <c r="B16">
        <v>1</v>
      </c>
      <c r="D16" t="s">
        <v>251</v>
      </c>
    </row>
    <row r="17" spans="1:11" x14ac:dyDescent="0.25">
      <c r="A17" t="s">
        <v>252</v>
      </c>
      <c r="B17" s="87">
        <f>IF(INDEX('Inputs-new'!C:C, MATCH(B8, 'Inputs-new'!B:B, 0))="F",0.0000141,
      IF(INDEX('Inputs-new'!C:C, MATCH(B8, 'Inputs-new'!B:B, 0))="M",0.0000155,
        "Error in value for M or F" ) )</f>
        <v>1.4100000000000001E-5</v>
      </c>
      <c r="C17" t="s">
        <v>253</v>
      </c>
      <c r="D17" t="s">
        <v>249</v>
      </c>
    </row>
    <row r="18" spans="1:11" x14ac:dyDescent="0.25">
      <c r="A18" t="s">
        <v>254</v>
      </c>
      <c r="B18" s="87">
        <f>IF(INDEX('Inputs-new'!C:C, MATCH(B8, 'Inputs-new'!B:B, 0))="F",0.000000772,
      IF(INDEX('Inputs-new'!C:C, MATCH(B8, 'Inputs-new'!B:B, 0))="M",0.000000629,
        "Error in value for M or F" ) )</f>
        <v>7.7199999999999998E-7</v>
      </c>
      <c r="C18" t="s">
        <v>253</v>
      </c>
      <c r="D18" t="s">
        <v>245</v>
      </c>
    </row>
    <row r="19" spans="1:11" x14ac:dyDescent="0.25">
      <c r="A19" t="s">
        <v>255</v>
      </c>
      <c r="B19">
        <f>IF(INDEX('Inputs-new'!C:C, MATCH(B8, 'Inputs-new'!B:B, 0))="F",0.47,
      IF(INDEX('Inputs-new'!C:C, MATCH(B8, 'Inputs-new'!B:B, 0))="M",0.5,
        "Error in value for M or F" ) )</f>
        <v>0.47</v>
      </c>
      <c r="D19" t="s">
        <v>256</v>
      </c>
    </row>
    <row r="20" spans="1:11" x14ac:dyDescent="0.25">
      <c r="A20" t="s">
        <v>257</v>
      </c>
      <c r="B20">
        <f>IF(INDEX('Inputs-new'!C:C, MATCH(B8, 'Inputs-new'!B:B, 0))="F",0.8323,
      IF(INDEX('Inputs-new'!C:C, MATCH(B8, 'Inputs-new'!B:B, 0))="M",0.831,
        "Error in value for M or F" ) )</f>
        <v>0.83230000000000004</v>
      </c>
      <c r="D20" t="s">
        <v>256</v>
      </c>
    </row>
    <row r="21" spans="1:11" x14ac:dyDescent="0.25">
      <c r="A21" t="s">
        <v>258</v>
      </c>
      <c r="B21">
        <f>IF(INDEX('Inputs-new'!C:C, MATCH(B8, 'Inputs-new'!B:B, 0))="F",0.972,
      IF(INDEX('Inputs-new'!C:C, MATCH(B8, 'Inputs-new'!B:B, 0))="M",0.974,
        "Error in value for M or F" ) )</f>
        <v>0.97199999999999998</v>
      </c>
      <c r="D21" t="s">
        <v>256</v>
      </c>
    </row>
    <row r="23" spans="1:11" x14ac:dyDescent="0.25">
      <c r="A23" t="s">
        <v>259</v>
      </c>
      <c r="B23">
        <f>B10*(B13*(B14/B15))*B16*B17*POWER(B15/B14,B21)+(B11-(B10*B13*(B14/B15)*B16))*(B18*POWER((B15^2)/(B14*B12),B19)*POWER(B15/B14,B20)-B17*POWER((B13*B15^2)/(B12*B14^2),B21))</f>
        <v>4.2985987140312973</v>
      </c>
      <c r="C23" t="s">
        <v>284</v>
      </c>
      <c r="D23" t="s">
        <v>260</v>
      </c>
      <c r="K23" t="s">
        <v>288</v>
      </c>
    </row>
    <row r="24" spans="1:11" x14ac:dyDescent="0.25">
      <c r="B24">
        <f>2000/B23</f>
        <v>465.2679007862929</v>
      </c>
      <c r="C24" t="str">
        <f>"Ratio 2000/"&amp;ROUND(B23,3)&amp;" mGy"</f>
        <v>Ratio 2000/4.299 mGy</v>
      </c>
    </row>
    <row r="25" spans="1:11" x14ac:dyDescent="0.25">
      <c r="B25">
        <f>B24*INDEX('Inputs-new'!J:J, MATCH(B8, 'Inputs-new'!B:B, 0))</f>
        <v>40553.259662834709</v>
      </c>
      <c r="C25" t="s">
        <v>261</v>
      </c>
    </row>
    <row r="26" spans="1:11" x14ac:dyDescent="0.25">
      <c r="B26" s="88">
        <f>B25/37</f>
        <v>1096.0340449414787</v>
      </c>
      <c r="C26" s="89" t="s">
        <v>145</v>
      </c>
    </row>
    <row r="28" spans="1:11" x14ac:dyDescent="0.25">
      <c r="A28" s="94" t="s">
        <v>262</v>
      </c>
    </row>
    <row r="30" spans="1:11" x14ac:dyDescent="0.25">
      <c r="A30" t="s">
        <v>285</v>
      </c>
      <c r="B30" s="95">
        <f>B10*B13*B16*B17+(B11-(B10*B13*(B14/B15)*B16))*(B18*(B15/B12)-B17*(B13/B12))*(B15/B14)</f>
        <v>4.4667301210689665</v>
      </c>
      <c r="C30" t="s">
        <v>284</v>
      </c>
      <c r="D30" t="s">
        <v>286</v>
      </c>
    </row>
    <row r="31" spans="1:11" x14ac:dyDescent="0.25">
      <c r="B31">
        <f>2000/B30</f>
        <v>447.75483313090001</v>
      </c>
      <c r="C31" t="str">
        <f>"Ratio 2000/"&amp;ROUND(B30,3)&amp;" mGy"</f>
        <v>Ratio 2000/4.467 mGy</v>
      </c>
    </row>
    <row r="32" spans="1:11" x14ac:dyDescent="0.25">
      <c r="B32">
        <f>B31*INDEX('Inputs-new'!J:J, MATCH(B8, 'Inputs-new'!B:B, 0))</f>
        <v>39026.801510613819</v>
      </c>
      <c r="C32" t="s">
        <v>261</v>
      </c>
    </row>
    <row r="33" spans="2:3" x14ac:dyDescent="0.25">
      <c r="B33" s="88">
        <f>B32/37</f>
        <v>1054.7784192057788</v>
      </c>
      <c r="C33" s="89" t="s">
        <v>145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'Inputs-new'!$B$2:$B$61</xm:f>
          </x14:formula1>
          <xm:sqref>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zoomScale="64" zoomScaleNormal="85" workbookViewId="0">
      <selection activeCell="B1" sqref="B1"/>
    </sheetView>
  </sheetViews>
  <sheetFormatPr defaultRowHeight="15" x14ac:dyDescent="0.25"/>
  <cols>
    <col min="1" max="1" width="13.140625" bestFit="1" customWidth="1"/>
    <col min="2" max="2" width="19" bestFit="1" customWidth="1"/>
    <col min="3" max="3" width="9.7109375" bestFit="1" customWidth="1"/>
    <col min="4" max="4" width="9.85546875" bestFit="1" customWidth="1"/>
    <col min="5" max="5" width="10" bestFit="1" customWidth="1"/>
    <col min="6" max="6" width="9.85546875" bestFit="1" customWidth="1"/>
    <col min="7" max="9" width="9.28515625" bestFit="1" customWidth="1"/>
    <col min="12" max="25" width="9.28515625" bestFit="1" customWidth="1"/>
    <col min="26" max="26" width="12.7109375" bestFit="1" customWidth="1"/>
    <col min="27" max="27" width="13.7109375" bestFit="1" customWidth="1"/>
    <col min="28" max="28" width="12.7109375" bestFit="1" customWidth="1"/>
    <col min="29" max="33" width="13.7109375" bestFit="1" customWidth="1"/>
    <col min="34" max="39" width="12.28515625" bestFit="1" customWidth="1"/>
  </cols>
  <sheetData>
    <row r="1" spans="1:39" x14ac:dyDescent="0.25">
      <c r="A1" s="84" t="s">
        <v>263</v>
      </c>
      <c r="B1" s="86" t="s">
        <v>291</v>
      </c>
      <c r="D1" s="99" t="s">
        <v>282</v>
      </c>
      <c r="E1" s="99"/>
      <c r="F1" s="99" t="s">
        <v>283</v>
      </c>
      <c r="G1" s="99"/>
    </row>
    <row r="2" spans="1:39" x14ac:dyDescent="0.25">
      <c r="D2" t="s">
        <v>144</v>
      </c>
      <c r="E2" t="s">
        <v>145</v>
      </c>
      <c r="F2" t="s">
        <v>144</v>
      </c>
      <c r="G2" t="s">
        <v>145</v>
      </c>
    </row>
    <row r="3" spans="1:39" x14ac:dyDescent="0.25">
      <c r="D3" s="28">
        <f>VLOOKUP(Graphing!B1,'Inputs-new'!B:IV,196,FALSE)</f>
        <v>7.1102038895398252</v>
      </c>
      <c r="E3">
        <f>VLOOKUP(Graphing!B1,'Inputs-new'!B:IV,197,FALSE)</f>
        <v>192</v>
      </c>
      <c r="F3" s="28">
        <f>VLOOKUP(Graphing!B1,'Inputs-new'!B:IV,198,FALSE)</f>
        <v>5.5190236898657776</v>
      </c>
      <c r="G3">
        <f>VLOOKUP(Graphing!B1,'Inputs-new'!B:IV,199,FALSE)</f>
        <v>149</v>
      </c>
    </row>
    <row r="4" spans="1:39" x14ac:dyDescent="0.25">
      <c r="A4" s="84" t="s">
        <v>264</v>
      </c>
    </row>
    <row r="5" spans="1:39" x14ac:dyDescent="0.25">
      <c r="B5" t="s">
        <v>79</v>
      </c>
      <c r="C5" t="s">
        <v>80</v>
      </c>
      <c r="D5" t="s">
        <v>81</v>
      </c>
      <c r="E5" t="s">
        <v>82</v>
      </c>
      <c r="G5" t="s">
        <v>265</v>
      </c>
      <c r="H5" t="s">
        <v>197</v>
      </c>
      <c r="I5" t="s">
        <v>266</v>
      </c>
      <c r="J5" t="s">
        <v>267</v>
      </c>
      <c r="L5" t="s">
        <v>265</v>
      </c>
      <c r="M5" t="s">
        <v>197</v>
      </c>
      <c r="N5" t="s">
        <v>266</v>
      </c>
      <c r="O5" t="s">
        <v>267</v>
      </c>
      <c r="P5" t="s">
        <v>268</v>
      </c>
      <c r="Q5" t="s">
        <v>269</v>
      </c>
      <c r="R5" t="s">
        <v>270</v>
      </c>
      <c r="S5" t="s">
        <v>271</v>
      </c>
      <c r="T5" t="s">
        <v>272</v>
      </c>
      <c r="U5" t="s">
        <v>273</v>
      </c>
      <c r="V5" t="s">
        <v>274</v>
      </c>
      <c r="W5" t="s">
        <v>275</v>
      </c>
      <c r="X5" t="s">
        <v>276</v>
      </c>
      <c r="Y5" t="s">
        <v>277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 t="s">
        <v>84</v>
      </c>
      <c r="AF5" t="s">
        <v>85</v>
      </c>
      <c r="AG5" t="s">
        <v>86</v>
      </c>
      <c r="AH5" t="s">
        <v>87</v>
      </c>
      <c r="AI5" t="s">
        <v>88</v>
      </c>
      <c r="AJ5" t="s">
        <v>89</v>
      </c>
      <c r="AK5" t="s">
        <v>90</v>
      </c>
      <c r="AL5" t="s">
        <v>91</v>
      </c>
      <c r="AM5" t="s">
        <v>92</v>
      </c>
    </row>
    <row r="6" spans="1:39" x14ac:dyDescent="0.25">
      <c r="A6" t="s">
        <v>278</v>
      </c>
      <c r="B6" s="9">
        <f>VLOOKUP(Graphing!B1,'Inputs-new'!B:IV,26,FALSE)</f>
        <v>86.615705493891724</v>
      </c>
      <c r="C6" s="9">
        <f>VLOOKUP(Graphing!B1,'Inputs-new'!B:IV,32,FALSE)</f>
        <v>41.786520252345156</v>
      </c>
      <c r="D6" s="9">
        <f>VLOOKUP(Graphing!B1,'Inputs-new'!B:IV,38,FALSE)</f>
        <v>33.020512807928505</v>
      </c>
      <c r="E6" s="9" t="str">
        <f>VLOOKUP(Graphing!B1,'Inputs-new'!B:IV,44,FALSE)</f>
        <v/>
      </c>
      <c r="F6" t="s">
        <v>279</v>
      </c>
      <c r="G6" s="9">
        <f>VLOOKUP(Graphing!B1,'Inputs-new'!B:IV,24,FALSE)</f>
        <v>1.7441666666418314</v>
      </c>
      <c r="H6" s="9">
        <f>VLOOKUP(Graphing!B1,'Inputs-new'!B:IV,30,FALSE)</f>
        <v>40.495555555564351</v>
      </c>
      <c r="I6" s="9">
        <f>VLOOKUP(Graphing!B1,'Inputs-new'!B:IV,36,FALSE)</f>
        <v>64.928888888913207</v>
      </c>
      <c r="J6" s="9" t="str">
        <f>VLOOKUP(Graphing!B1,'Inputs-new'!B:IV,42,FALSE)</f>
        <v/>
      </c>
      <c r="L6">
        <v>0</v>
      </c>
      <c r="M6">
        <v>2</v>
      </c>
      <c r="N6">
        <v>4</v>
      </c>
      <c r="O6">
        <v>10</v>
      </c>
      <c r="P6">
        <v>18</v>
      </c>
      <c r="Q6">
        <v>24</v>
      </c>
      <c r="R6">
        <v>26</v>
      </c>
      <c r="S6">
        <v>34</v>
      </c>
      <c r="T6">
        <v>42</v>
      </c>
      <c r="U6">
        <v>48</v>
      </c>
      <c r="V6">
        <v>50</v>
      </c>
      <c r="W6">
        <v>58</v>
      </c>
      <c r="X6">
        <v>66</v>
      </c>
      <c r="Y6">
        <v>74</v>
      </c>
      <c r="Z6">
        <f>VLOOKUP(Graphing!$B1,'Inputs-new'!$B:$IV,117,FALSE)</f>
        <v>1.0268856451337445</v>
      </c>
      <c r="AA6">
        <f>VLOOKUP(Graphing!$B1,'Inputs-new'!$B:$IV,118,FALSE)</f>
        <v>0.98897215755928236</v>
      </c>
      <c r="AB6">
        <f>VLOOKUP(Graphing!$B1,'Inputs-new'!$B:$IV,119,FALSE)</f>
        <v>0.95245846805081802</v>
      </c>
      <c r="AC6">
        <f>VLOOKUP(Graphing!$B1,'Inputs-new'!$B:$IV,120,FALSE)</f>
        <v>0.85080884083836705</v>
      </c>
      <c r="AD6">
        <f>VLOOKUP(Graphing!$B1,'Inputs-new'!$B:$IV,121,FALSE)</f>
        <v>0.73194748519028374</v>
      </c>
      <c r="AE6">
        <f>VLOOKUP(Graphing!$B1,'Inputs-new'!$B:$IV,122,FALSE)</f>
        <v>0.65383154470109328</v>
      </c>
      <c r="AF6">
        <f>VLOOKUP(Graphing!$B1,'Inputs-new'!$B:$IV,123,FALSE)</f>
        <v>0.62969153041295156</v>
      </c>
      <c r="AG6">
        <f>VLOOKUP(Graphing!$B1,'Inputs-new'!$B:$IV,124,FALSE)</f>
        <v>0.54172113641557806</v>
      </c>
      <c r="AH6">
        <f>VLOOKUP(Graphing!$B1,'Inputs-new'!$B:$IV,125,FALSE)</f>
        <v>0.4660405539311181</v>
      </c>
      <c r="AI6">
        <f>VLOOKUP(Graphing!$B1,'Inputs-new'!$B:$IV,126,FALSE)</f>
        <v>0.41630311113224239</v>
      </c>
      <c r="AJ6">
        <f>VLOOKUP(Graphing!$B1,'Inputs-new'!$B:$IV,127,FALSE)</f>
        <v>0.40093284774807902</v>
      </c>
      <c r="AK6">
        <f>VLOOKUP(Graphing!$B1,'Inputs-new'!$B:$IV,128,FALSE)</f>
        <v>0.34492094528568251</v>
      </c>
      <c r="AL6">
        <f>VLOOKUP(Graphing!$B1,'Inputs-new'!$B:$IV,129,FALSE)</f>
        <v>0.2967341268369269</v>
      </c>
      <c r="AM6">
        <f>VLOOKUP(Graphing!$B1,'Inputs-new'!$B:$IV,130,FALSE)</f>
        <v>0.25527919725705445</v>
      </c>
    </row>
    <row r="7" spans="1:39" x14ac:dyDescent="0.25">
      <c r="A7" t="s">
        <v>280</v>
      </c>
      <c r="B7" s="9">
        <f>B6/VLOOKUP(B1,'Inputs-new'!B:IV,8,FALSE)</f>
        <v>0.99374274239166804</v>
      </c>
      <c r="C7" s="9">
        <f>C6/VLOOKUP(B1,'Inputs-new'!B:IV,8,FALSE)</f>
        <v>0.47941711025489325</v>
      </c>
      <c r="D7" s="9">
        <f>D6/VLOOKUP(B1,'Inputs-new'!B:IV,8,FALSE)</f>
        <v>0.37884463061083257</v>
      </c>
      <c r="E7" s="9" t="e">
        <f>E6/VLOOKUP(B1,'Inputs-new'!B:IV,8,FALSE)</f>
        <v>#VALUE!</v>
      </c>
      <c r="G7" s="9">
        <f>G6</f>
        <v>1.7441666666418314</v>
      </c>
      <c r="H7" s="9">
        <f t="shared" ref="H7:J7" si="0">H6</f>
        <v>40.495555555564351</v>
      </c>
      <c r="I7" s="9">
        <f t="shared" si="0"/>
        <v>64.928888888913207</v>
      </c>
      <c r="J7" s="9" t="str">
        <f t="shared" si="0"/>
        <v/>
      </c>
    </row>
    <row r="9" spans="1:39" x14ac:dyDescent="0.25">
      <c r="A9" s="84" t="s">
        <v>281</v>
      </c>
    </row>
    <row r="10" spans="1:39" x14ac:dyDescent="0.25">
      <c r="B10" t="s">
        <v>79</v>
      </c>
      <c r="C10" t="s">
        <v>80</v>
      </c>
      <c r="D10" t="s">
        <v>81</v>
      </c>
      <c r="E10" t="s">
        <v>82</v>
      </c>
      <c r="G10" t="s">
        <v>265</v>
      </c>
      <c r="H10" t="s">
        <v>197</v>
      </c>
      <c r="I10" t="s">
        <v>266</v>
      </c>
      <c r="J10" t="s">
        <v>267</v>
      </c>
      <c r="L10" t="s">
        <v>265</v>
      </c>
      <c r="M10" t="s">
        <v>197</v>
      </c>
      <c r="N10" t="s">
        <v>266</v>
      </c>
      <c r="O10" t="s">
        <v>267</v>
      </c>
      <c r="P10" t="s">
        <v>268</v>
      </c>
      <c r="Q10" t="s">
        <v>269</v>
      </c>
      <c r="R10" t="s">
        <v>270</v>
      </c>
      <c r="S10" t="s">
        <v>271</v>
      </c>
      <c r="T10" t="s">
        <v>272</v>
      </c>
      <c r="U10" t="s">
        <v>273</v>
      </c>
      <c r="V10" t="s">
        <v>274</v>
      </c>
      <c r="W10" t="s">
        <v>275</v>
      </c>
      <c r="X10" t="s">
        <v>276</v>
      </c>
      <c r="Y10" t="s">
        <v>277</v>
      </c>
      <c r="Z10" t="s">
        <v>79</v>
      </c>
      <c r="AA10" t="s">
        <v>80</v>
      </c>
      <c r="AB10" t="s">
        <v>81</v>
      </c>
      <c r="AC10" t="s">
        <v>82</v>
      </c>
      <c r="AD10" t="s">
        <v>83</v>
      </c>
      <c r="AE10" t="s">
        <v>84</v>
      </c>
      <c r="AF10" t="s">
        <v>85</v>
      </c>
      <c r="AG10" t="s">
        <v>86</v>
      </c>
      <c r="AH10" t="s">
        <v>87</v>
      </c>
      <c r="AI10" t="s">
        <v>88</v>
      </c>
      <c r="AJ10" t="s">
        <v>89</v>
      </c>
      <c r="AK10" t="s">
        <v>90</v>
      </c>
      <c r="AL10" t="s">
        <v>91</v>
      </c>
      <c r="AM10" t="s">
        <v>92</v>
      </c>
    </row>
    <row r="11" spans="1:39" x14ac:dyDescent="0.25">
      <c r="A11" t="s">
        <v>278</v>
      </c>
      <c r="B11" s="70">
        <f>VLOOKUP(Graphing!B1,'Inputs-new'!B:IV,58,FALSE)</f>
        <v>4.2391287737315658E-3</v>
      </c>
      <c r="C11" s="70">
        <f>VLOOKUP(Graphing!B1,'Inputs-new'!B:IV,66,FALSE)</f>
        <v>2.6391529274832483E-3</v>
      </c>
      <c r="D11" s="70">
        <f>VLOOKUP(Graphing!B1,'Inputs-new'!B:IV,74,FALSE)</f>
        <v>1.7067840085046324E-3</v>
      </c>
      <c r="E11" s="70" t="e">
        <f>VLOOKUP(Graphing!B1,'Inputs-new'!B:IV,82,FALSE)</f>
        <v>#VALUE!</v>
      </c>
      <c r="F11" t="s">
        <v>279</v>
      </c>
      <c r="G11" s="9">
        <f>VLOOKUP(Graphing!B1,'Inputs-new'!B:IV,54,FALSE)</f>
        <v>1.4666666667326353</v>
      </c>
      <c r="H11" s="9">
        <f>VLOOKUP(Graphing!B1,'Inputs-new'!B:IV,62,FALSE)</f>
        <v>41.383333333418705</v>
      </c>
      <c r="I11" s="9">
        <f>VLOOKUP(Graphing!B1,'Inputs-new'!B:IV,70,FALSE)</f>
        <v>64.350000000034925</v>
      </c>
      <c r="J11" s="9" t="str">
        <f>VLOOKUP(Graphing!B1,'Inputs-new'!B:IV,78,FALSE)</f>
        <v/>
      </c>
      <c r="L11">
        <v>0</v>
      </c>
      <c r="M11">
        <v>2</v>
      </c>
      <c r="N11">
        <v>4</v>
      </c>
      <c r="O11">
        <v>10</v>
      </c>
      <c r="P11">
        <v>18</v>
      </c>
      <c r="Q11">
        <v>24</v>
      </c>
      <c r="R11">
        <v>26</v>
      </c>
      <c r="S11">
        <v>34</v>
      </c>
      <c r="T11">
        <v>42</v>
      </c>
      <c r="U11">
        <v>48</v>
      </c>
      <c r="V11">
        <v>50</v>
      </c>
      <c r="W11">
        <v>58</v>
      </c>
      <c r="X11">
        <v>66</v>
      </c>
      <c r="Y11">
        <v>74</v>
      </c>
      <c r="Z11">
        <f>VLOOKUP(Graphing!$B1,'Inputs-new'!$B:$IV,166,FALSE)</f>
        <v>5.0895486588521286E-5</v>
      </c>
      <c r="AA11">
        <f>VLOOKUP(Graphing!$B1,'Inputs-new'!$B:$IV,167,FALSE)</f>
        <v>4.9472542628514425E-5</v>
      </c>
      <c r="AB11">
        <f>VLOOKUP(Graphing!$B1,'Inputs-new'!$B:$IV,168,FALSE)</f>
        <v>4.8089381557895969E-5</v>
      </c>
      <c r="AC11">
        <f>VLOOKUP(Graphing!$B1,'Inputs-new'!$B:$IV,169,FALSE)</f>
        <v>4.416762773380794E-5</v>
      </c>
      <c r="AD11">
        <f>VLOOKUP(Graphing!$B1,'Inputs-new'!$B:$IV,170,FALSE)</f>
        <v>3.943155609123418E-5</v>
      </c>
      <c r="AE11">
        <f>VLOOKUP(Graphing!$B1,'Inputs-new'!$B:$IV,171,FALSE)</f>
        <v>3.6215859592738696E-5</v>
      </c>
      <c r="AF11">
        <f>VLOOKUP(Graphing!$B1,'Inputs-new'!$B:$IV,172,FALSE)</f>
        <v>3.5203330936109904E-5</v>
      </c>
      <c r="AG11">
        <f>VLOOKUP(Graphing!$B1,'Inputs-new'!$B:$IV,173,FALSE)</f>
        <v>3.142849615495568E-5</v>
      </c>
      <c r="AH11">
        <f>VLOOKUP(Graphing!$B1,'Inputs-new'!$B:$IV,174,FALSE)</f>
        <v>2.8058434934885014E-5</v>
      </c>
      <c r="AI11">
        <f>VLOOKUP(Graphing!$B1,'Inputs-new'!$B:$IV,175,FALSE)</f>
        <v>2.5770231781942976E-5</v>
      </c>
      <c r="AJ11">
        <f>VLOOKUP(Graphing!$B1,'Inputs-new'!$B:$IV,176,FALSE)</f>
        <v>2.5049743618452991E-5</v>
      </c>
      <c r="AK11">
        <f>VLOOKUP(Graphing!$B1,'Inputs-new'!$B:$IV,177,FALSE)</f>
        <v>2.2363672699722443E-5</v>
      </c>
      <c r="AL11">
        <f>VLOOKUP(Graphing!$B1,'Inputs-new'!$B:$IV,178,FALSE)</f>
        <v>1.9965627762029682E-5</v>
      </c>
      <c r="AM11">
        <f>VLOOKUP(Graphing!$B1,'Inputs-new'!$B:$IV,179,FALSE)</f>
        <v>1.8337403931956294E-5</v>
      </c>
    </row>
    <row r="12" spans="1:39" x14ac:dyDescent="0.25">
      <c r="A12" t="s">
        <v>280</v>
      </c>
      <c r="B12" s="70">
        <f>B11/VLOOKUP(B1,'Inputs-new'!B:IV,8,FALSE)</f>
        <v>4.8635561286936753E-5</v>
      </c>
      <c r="C12" s="70">
        <f>C11/VLOOKUP(B1,'Inputs-new'!B:IV,8,FALSE)</f>
        <v>3.0279024488614884E-5</v>
      </c>
      <c r="D12" s="70">
        <f>D11/VLOOKUP(B1,'Inputs-new'!B:IV,8,FALSE)</f>
        <v>1.9581947772754092E-5</v>
      </c>
      <c r="E12" s="70" t="e">
        <f>E11/VLOOKUP(B1,'Inputs-new'!B:IV,8,FALSE)</f>
        <v>#VALUE!</v>
      </c>
      <c r="G12" s="9">
        <f>G11</f>
        <v>1.4666666667326353</v>
      </c>
      <c r="H12" s="9">
        <f t="shared" ref="H12" si="1">H11</f>
        <v>41.383333333418705</v>
      </c>
      <c r="I12" s="9">
        <f t="shared" ref="I12" si="2">I11</f>
        <v>64.350000000034925</v>
      </c>
      <c r="J12" s="9" t="str">
        <f t="shared" ref="J12" si="3">J11</f>
        <v/>
      </c>
    </row>
  </sheetData>
  <mergeCells count="2">
    <mergeCell ref="D1:E1"/>
    <mergeCell ref="F1:G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'Inputs-new'!$B$2:$B$46</xm:f>
          </x14:formula1>
          <xm:sqref>B1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topLeftCell="D14" zoomScale="64" zoomScaleNormal="85" workbookViewId="0">
      <selection activeCell="B1" sqref="B1"/>
    </sheetView>
  </sheetViews>
  <sheetFormatPr defaultRowHeight="15" x14ac:dyDescent="0.25"/>
  <cols>
    <col min="1" max="1" width="13.140625" bestFit="1" customWidth="1"/>
    <col min="2" max="2" width="19" bestFit="1" customWidth="1"/>
    <col min="3" max="3" width="9.7109375" bestFit="1" customWidth="1"/>
    <col min="4" max="4" width="9.85546875" bestFit="1" customWidth="1"/>
    <col min="5" max="5" width="10" bestFit="1" customWidth="1"/>
    <col min="6" max="6" width="9.85546875" bestFit="1" customWidth="1"/>
    <col min="7" max="9" width="9.28515625" bestFit="1" customWidth="1"/>
    <col min="12" max="25" width="9.28515625" bestFit="1" customWidth="1"/>
    <col min="26" max="29" width="9.28515625" customWidth="1"/>
    <col min="30" max="30" width="12.7109375" bestFit="1" customWidth="1"/>
    <col min="31" max="31" width="13.7109375" bestFit="1" customWidth="1"/>
    <col min="32" max="32" width="12.7109375" bestFit="1" customWidth="1"/>
    <col min="33" max="37" width="13.7109375" bestFit="1" customWidth="1"/>
    <col min="38" max="43" width="12.28515625" bestFit="1" customWidth="1"/>
    <col min="44" max="47" width="13.7109375" bestFit="1" customWidth="1"/>
  </cols>
  <sheetData>
    <row r="1" spans="1:47" x14ac:dyDescent="0.25">
      <c r="A1" s="84" t="s">
        <v>263</v>
      </c>
      <c r="B1" s="86" t="s">
        <v>196</v>
      </c>
      <c r="D1" s="99" t="s">
        <v>282</v>
      </c>
      <c r="E1" s="99"/>
      <c r="F1" s="99" t="s">
        <v>283</v>
      </c>
      <c r="G1" s="99"/>
    </row>
    <row r="2" spans="1:47" x14ac:dyDescent="0.25">
      <c r="D2" t="s">
        <v>144</v>
      </c>
      <c r="E2" t="s">
        <v>145</v>
      </c>
      <c r="F2" t="s">
        <v>144</v>
      </c>
      <c r="G2" t="s">
        <v>145</v>
      </c>
    </row>
    <row r="3" spans="1:47" x14ac:dyDescent="0.25">
      <c r="D3" s="28" t="e">
        <f>VLOOKUP('Graphing (2)'!B1,'Inputs-new'!B:IV,196,FALSE)</f>
        <v>#N/A</v>
      </c>
      <c r="E3" t="e">
        <f>VLOOKUP('Graphing (2)'!B1,'Inputs-new'!B:IV,197,FALSE)</f>
        <v>#N/A</v>
      </c>
      <c r="F3" s="28" t="e">
        <f>VLOOKUP('Graphing (2)'!B1,'Inputs-new'!B:IV,198,FALSE)</f>
        <v>#N/A</v>
      </c>
      <c r="G3" t="e">
        <f>VLOOKUP('Graphing (2)'!B1,'Inputs-new'!B:IV,199,FALSE)</f>
        <v>#N/A</v>
      </c>
    </row>
    <row r="4" spans="1:47" x14ac:dyDescent="0.25">
      <c r="A4" s="84" t="s">
        <v>264</v>
      </c>
    </row>
    <row r="5" spans="1:47" x14ac:dyDescent="0.25">
      <c r="B5" t="s">
        <v>79</v>
      </c>
      <c r="C5" t="s">
        <v>80</v>
      </c>
      <c r="D5" t="s">
        <v>81</v>
      </c>
      <c r="E5" t="s">
        <v>82</v>
      </c>
      <c r="G5" t="s">
        <v>265</v>
      </c>
      <c r="H5" t="s">
        <v>197</v>
      </c>
      <c r="I5" t="s">
        <v>266</v>
      </c>
      <c r="J5" t="s">
        <v>267</v>
      </c>
      <c r="L5" t="s">
        <v>265</v>
      </c>
      <c r="M5" t="s">
        <v>197</v>
      </c>
      <c r="N5" t="s">
        <v>266</v>
      </c>
      <c r="O5" t="s">
        <v>267</v>
      </c>
      <c r="P5" t="s">
        <v>268</v>
      </c>
      <c r="Q5" t="s">
        <v>269</v>
      </c>
      <c r="R5" t="s">
        <v>270</v>
      </c>
      <c r="S5" t="s">
        <v>271</v>
      </c>
      <c r="T5" t="s">
        <v>272</v>
      </c>
      <c r="U5" t="s">
        <v>273</v>
      </c>
      <c r="V5" t="s">
        <v>274</v>
      </c>
      <c r="W5" t="s">
        <v>275</v>
      </c>
      <c r="X5" t="s">
        <v>276</v>
      </c>
      <c r="Y5" t="s">
        <v>277</v>
      </c>
      <c r="AD5" t="s">
        <v>79</v>
      </c>
      <c r="AE5" t="s">
        <v>80</v>
      </c>
      <c r="AF5" t="s">
        <v>81</v>
      </c>
      <c r="AG5" t="s">
        <v>82</v>
      </c>
      <c r="AH5" t="s">
        <v>83</v>
      </c>
      <c r="AI5" t="s">
        <v>84</v>
      </c>
      <c r="AJ5" t="s">
        <v>85</v>
      </c>
      <c r="AK5" t="s">
        <v>86</v>
      </c>
      <c r="AL5" t="s">
        <v>87</v>
      </c>
      <c r="AM5" t="s">
        <v>88</v>
      </c>
      <c r="AN5" t="s">
        <v>89</v>
      </c>
      <c r="AO5" t="s">
        <v>90</v>
      </c>
      <c r="AP5" t="s">
        <v>91</v>
      </c>
      <c r="AQ5" t="s">
        <v>92</v>
      </c>
    </row>
    <row r="6" spans="1:47" x14ac:dyDescent="0.25">
      <c r="A6" t="s">
        <v>278</v>
      </c>
      <c r="B6" s="9" t="e">
        <f>VLOOKUP('Graphing (2)'!B1,'Inputs-new'!B:IV,26,FALSE)</f>
        <v>#N/A</v>
      </c>
      <c r="C6" s="9" t="e">
        <f>VLOOKUP('Graphing (2)'!B1,'Inputs-new'!B:IV,32,FALSE)</f>
        <v>#N/A</v>
      </c>
      <c r="D6" s="9" t="e">
        <f>VLOOKUP('Graphing (2)'!B1,'Inputs-new'!B:IV,38,FALSE)</f>
        <v>#N/A</v>
      </c>
      <c r="E6" s="9" t="e">
        <f>VLOOKUP('Graphing (2)'!B1,'Inputs-new'!B:IV,44,FALSE)</f>
        <v>#N/A</v>
      </c>
      <c r="F6" t="s">
        <v>279</v>
      </c>
      <c r="G6" s="9" t="e">
        <f>VLOOKUP('Graphing (2)'!B1,'Inputs-new'!B:IV,24,FALSE)</f>
        <v>#N/A</v>
      </c>
      <c r="H6" s="9" t="e">
        <f>VLOOKUP('Graphing (2)'!B1,'Inputs-new'!B:IV,30,FALSE)</f>
        <v>#N/A</v>
      </c>
      <c r="I6" s="9" t="e">
        <f>VLOOKUP('Graphing (2)'!B1,'Inputs-new'!B:IV,36,FALSE)</f>
        <v>#N/A</v>
      </c>
      <c r="J6" s="9" t="e">
        <f>VLOOKUP('Graphing (2)'!B1,'Inputs-new'!B:IV,42,FALSE)</f>
        <v>#N/A</v>
      </c>
      <c r="L6">
        <v>0</v>
      </c>
      <c r="M6">
        <v>2</v>
      </c>
      <c r="N6">
        <v>4</v>
      </c>
      <c r="O6">
        <v>10</v>
      </c>
      <c r="P6">
        <v>18</v>
      </c>
      <c r="Q6">
        <v>24</v>
      </c>
      <c r="R6">
        <v>26</v>
      </c>
      <c r="S6">
        <v>34</v>
      </c>
      <c r="T6">
        <v>42</v>
      </c>
      <c r="U6">
        <v>48</v>
      </c>
      <c r="V6">
        <v>50</v>
      </c>
      <c r="W6">
        <v>58</v>
      </c>
      <c r="X6">
        <v>66</v>
      </c>
      <c r="Y6">
        <v>74</v>
      </c>
      <c r="AD6" t="e">
        <f>VLOOKUP('Graphing (2)'!$B1,'Inputs-new'!$B:$IV,117,FALSE)</f>
        <v>#N/A</v>
      </c>
      <c r="AE6" t="e">
        <f>VLOOKUP('Graphing (2)'!$B1,'Inputs-new'!$B:$IV,118,FALSE)</f>
        <v>#N/A</v>
      </c>
      <c r="AF6" t="e">
        <f>VLOOKUP('Graphing (2)'!$B1,'Inputs-new'!$B:$IV,119,FALSE)</f>
        <v>#N/A</v>
      </c>
      <c r="AG6" t="e">
        <f>VLOOKUP('Graphing (2)'!$B1,'Inputs-new'!$B:$IV,120,FALSE)</f>
        <v>#N/A</v>
      </c>
      <c r="AH6" t="e">
        <f>VLOOKUP('Graphing (2)'!$B1,'Inputs-new'!$B:$IV,121,FALSE)</f>
        <v>#N/A</v>
      </c>
      <c r="AI6" t="e">
        <f>VLOOKUP('Graphing (2)'!$B1,'Inputs-new'!$B:$IV,122,FALSE)</f>
        <v>#N/A</v>
      </c>
      <c r="AJ6" t="e">
        <f>VLOOKUP('Graphing (2)'!$B1,'Inputs-new'!$B:$IV,123,FALSE)</f>
        <v>#N/A</v>
      </c>
      <c r="AK6" t="e">
        <f>VLOOKUP('Graphing (2)'!$B1,'Inputs-new'!$B:$IV,124,FALSE)</f>
        <v>#N/A</v>
      </c>
      <c r="AL6" t="e">
        <f>VLOOKUP('Graphing (2)'!$B1,'Inputs-new'!$B:$IV,125,FALSE)</f>
        <v>#N/A</v>
      </c>
      <c r="AM6" t="e">
        <f>VLOOKUP('Graphing (2)'!$B1,'Inputs-new'!$B:$IV,126,FALSE)</f>
        <v>#N/A</v>
      </c>
      <c r="AN6" t="e">
        <f>VLOOKUP('Graphing (2)'!$B1,'Inputs-new'!$B:$IV,127,FALSE)</f>
        <v>#N/A</v>
      </c>
      <c r="AO6" t="e">
        <f>VLOOKUP('Graphing (2)'!$B1,'Inputs-new'!$B:$IV,128,FALSE)</f>
        <v>#N/A</v>
      </c>
      <c r="AP6" t="e">
        <f>VLOOKUP('Graphing (2)'!$B1,'Inputs-new'!$B:$IV,129,FALSE)</f>
        <v>#N/A</v>
      </c>
      <c r="AQ6" t="e">
        <f>VLOOKUP('Graphing (2)'!$B1,'Inputs-new'!$B:$IV,130,FALSE)</f>
        <v>#N/A</v>
      </c>
      <c r="AR6" t="e">
        <f>VLOOKUP('Graphing (2)'!$B1,'Inputs-new'!$B:$IV,131,FALSE)</f>
        <v>#N/A</v>
      </c>
      <c r="AS6" t="e">
        <f>VLOOKUP('Graphing (2)'!$B1,'Inputs-new'!$B:$IV,132,FALSE)</f>
        <v>#N/A</v>
      </c>
      <c r="AT6" t="e">
        <f>VLOOKUP('Graphing (2)'!$B1,'Inputs-new'!$B:$IV,133,FALSE)</f>
        <v>#N/A</v>
      </c>
      <c r="AU6" t="e">
        <f>VLOOKUP('Graphing (2)'!$B1,'Inputs-new'!$B:$IV,134,FALSE)</f>
        <v>#N/A</v>
      </c>
    </row>
    <row r="7" spans="1:47" x14ac:dyDescent="0.25">
      <c r="A7" t="s">
        <v>280</v>
      </c>
      <c r="B7" s="9" t="e">
        <f>B6/VLOOKUP(B1,'Inputs-new'!B:IV,8,FALSE)</f>
        <v>#N/A</v>
      </c>
      <c r="C7" s="9" t="e">
        <f>C6/VLOOKUP(B1,'Inputs-new'!B:IV,8,FALSE)</f>
        <v>#N/A</v>
      </c>
      <c r="D7" s="9" t="e">
        <f>D6/VLOOKUP(B1,'Inputs-new'!B:IV,8,FALSE)</f>
        <v>#N/A</v>
      </c>
      <c r="E7" s="9" t="e">
        <f>E6/VLOOKUP(B1,'Inputs-new'!B:IV,8,FALSE)</f>
        <v>#N/A</v>
      </c>
      <c r="G7" s="9" t="e">
        <f>G6</f>
        <v>#N/A</v>
      </c>
      <c r="H7" s="9" t="e">
        <f t="shared" ref="H7:J7" si="0">H6</f>
        <v>#N/A</v>
      </c>
      <c r="I7" s="9" t="e">
        <f t="shared" si="0"/>
        <v>#N/A</v>
      </c>
      <c r="J7" s="9" t="e">
        <f t="shared" si="0"/>
        <v>#N/A</v>
      </c>
    </row>
    <row r="9" spans="1:47" x14ac:dyDescent="0.25">
      <c r="A9" s="84" t="s">
        <v>281</v>
      </c>
    </row>
    <row r="10" spans="1:47" x14ac:dyDescent="0.25">
      <c r="B10" t="s">
        <v>79</v>
      </c>
      <c r="C10" t="s">
        <v>80</v>
      </c>
      <c r="D10" t="s">
        <v>81</v>
      </c>
      <c r="E10" t="s">
        <v>82</v>
      </c>
      <c r="G10" t="s">
        <v>265</v>
      </c>
      <c r="H10" t="s">
        <v>197</v>
      </c>
      <c r="I10" t="s">
        <v>266</v>
      </c>
      <c r="J10" t="s">
        <v>267</v>
      </c>
      <c r="L10" t="s">
        <v>265</v>
      </c>
      <c r="M10" t="s">
        <v>197</v>
      </c>
      <c r="N10" t="s">
        <v>266</v>
      </c>
      <c r="O10" t="s">
        <v>267</v>
      </c>
      <c r="P10" t="s">
        <v>268</v>
      </c>
      <c r="Q10" t="s">
        <v>269</v>
      </c>
      <c r="R10" t="s">
        <v>270</v>
      </c>
      <c r="S10" t="s">
        <v>271</v>
      </c>
      <c r="T10" t="s">
        <v>272</v>
      </c>
      <c r="U10" t="s">
        <v>273</v>
      </c>
      <c r="V10" t="s">
        <v>274</v>
      </c>
      <c r="W10" t="s">
        <v>275</v>
      </c>
      <c r="X10" t="s">
        <v>276</v>
      </c>
      <c r="Y10" t="s">
        <v>277</v>
      </c>
      <c r="Z10">
        <v>15</v>
      </c>
      <c r="AA10">
        <v>116</v>
      </c>
      <c r="AB10">
        <v>17</v>
      </c>
      <c r="AC10">
        <v>18</v>
      </c>
      <c r="AD10" t="s">
        <v>79</v>
      </c>
      <c r="AE10" t="s">
        <v>80</v>
      </c>
      <c r="AF10" t="s">
        <v>81</v>
      </c>
      <c r="AG10" t="s">
        <v>82</v>
      </c>
      <c r="AH10" t="s">
        <v>83</v>
      </c>
      <c r="AI10" t="s">
        <v>84</v>
      </c>
      <c r="AJ10" t="s">
        <v>85</v>
      </c>
      <c r="AK10" t="s">
        <v>86</v>
      </c>
      <c r="AL10" t="s">
        <v>87</v>
      </c>
      <c r="AM10" t="s">
        <v>88</v>
      </c>
      <c r="AN10" t="s">
        <v>89</v>
      </c>
      <c r="AO10" t="s">
        <v>90</v>
      </c>
      <c r="AP10" t="s">
        <v>91</v>
      </c>
      <c r="AQ10" t="s">
        <v>92</v>
      </c>
    </row>
    <row r="11" spans="1:47" x14ac:dyDescent="0.25">
      <c r="A11" t="s">
        <v>278</v>
      </c>
      <c r="B11" s="70" t="e">
        <f>VLOOKUP('Graphing (2)'!B1,'Inputs-new'!B:IV,58,FALSE)</f>
        <v>#N/A</v>
      </c>
      <c r="C11" s="70" t="e">
        <f>VLOOKUP('Graphing (2)'!B1,'Inputs-new'!B:IV,66,FALSE)</f>
        <v>#N/A</v>
      </c>
      <c r="D11" s="70" t="e">
        <f>VLOOKUP('Graphing (2)'!B1,'Inputs-new'!B:IV,74,FALSE)</f>
        <v>#N/A</v>
      </c>
      <c r="E11" s="70" t="e">
        <f>VLOOKUP('Graphing (2)'!B1,'Inputs-new'!B:IV,82,FALSE)</f>
        <v>#N/A</v>
      </c>
      <c r="F11" t="s">
        <v>279</v>
      </c>
      <c r="G11" s="9" t="e">
        <f>VLOOKUP('Graphing (2)'!B1,'Inputs-new'!B:IV,54,FALSE)</f>
        <v>#N/A</v>
      </c>
      <c r="H11" s="9" t="e">
        <f>VLOOKUP('Graphing (2)'!B1,'Inputs-new'!B:IV,62,FALSE)</f>
        <v>#N/A</v>
      </c>
      <c r="I11" s="9" t="e">
        <f>VLOOKUP('Graphing (2)'!B1,'Inputs-new'!B:IV,70,FALSE)</f>
        <v>#N/A</v>
      </c>
      <c r="J11" s="9" t="e">
        <f>VLOOKUP('Graphing (2)'!B1,'Inputs-new'!B:IV,78,FALSE)</f>
        <v>#N/A</v>
      </c>
      <c r="L11">
        <v>0</v>
      </c>
      <c r="M11">
        <v>2</v>
      </c>
      <c r="N11">
        <v>4</v>
      </c>
      <c r="O11">
        <v>10</v>
      </c>
      <c r="P11">
        <v>18</v>
      </c>
      <c r="Q11">
        <v>24</v>
      </c>
      <c r="R11">
        <v>26</v>
      </c>
      <c r="S11">
        <v>34</v>
      </c>
      <c r="T11">
        <v>42</v>
      </c>
      <c r="U11">
        <v>48</v>
      </c>
      <c r="V11">
        <v>50</v>
      </c>
      <c r="W11">
        <v>58</v>
      </c>
      <c r="X11">
        <v>66</v>
      </c>
      <c r="Y11">
        <v>72</v>
      </c>
      <c r="Z11">
        <v>78</v>
      </c>
      <c r="AA11">
        <v>84</v>
      </c>
      <c r="AB11">
        <v>90</v>
      </c>
      <c r="AC11">
        <v>96</v>
      </c>
      <c r="AD11" t="e">
        <f>VLOOKUP('Graphing (2)'!$B1,'Inputs-new'!$B:$IV,166,FALSE)</f>
        <v>#N/A</v>
      </c>
      <c r="AE11" t="e">
        <f>VLOOKUP('Graphing (2)'!$B1,'Inputs-new'!$B:$IV,167,FALSE)</f>
        <v>#N/A</v>
      </c>
      <c r="AF11" t="e">
        <f>VLOOKUP('Graphing (2)'!$B1,'Inputs-new'!$B:$IV,168,FALSE)</f>
        <v>#N/A</v>
      </c>
      <c r="AG11" t="e">
        <f>VLOOKUP('Graphing (2)'!$B1,'Inputs-new'!$B:$IV,169,FALSE)</f>
        <v>#N/A</v>
      </c>
      <c r="AH11" t="e">
        <f>VLOOKUP('Graphing (2)'!$B1,'Inputs-new'!$B:$IV,170,FALSE)</f>
        <v>#N/A</v>
      </c>
      <c r="AI11" t="e">
        <f>VLOOKUP('Graphing (2)'!$B1,'Inputs-new'!$B:$IV,171,FALSE)</f>
        <v>#N/A</v>
      </c>
      <c r="AJ11" t="e">
        <f>VLOOKUP('Graphing (2)'!$B1,'Inputs-new'!$B:$IV,172,FALSE)</f>
        <v>#N/A</v>
      </c>
      <c r="AK11" t="e">
        <f>VLOOKUP('Graphing (2)'!$B1,'Inputs-new'!$B:$IV,173,FALSE)</f>
        <v>#N/A</v>
      </c>
      <c r="AL11" t="e">
        <f>VLOOKUP('Graphing (2)'!$B1,'Inputs-new'!$B:$IV,174,FALSE)</f>
        <v>#N/A</v>
      </c>
      <c r="AM11" t="e">
        <f>VLOOKUP('Graphing (2)'!$B1,'Inputs-new'!$B:$IV,175,FALSE)</f>
        <v>#N/A</v>
      </c>
      <c r="AN11" t="e">
        <f>VLOOKUP('Graphing (2)'!$B1,'Inputs-new'!$B:$IV,176,FALSE)</f>
        <v>#N/A</v>
      </c>
      <c r="AO11" t="e">
        <f>VLOOKUP('Graphing (2)'!$B1,'Inputs-new'!$B:$IV,177,FALSE)</f>
        <v>#N/A</v>
      </c>
      <c r="AP11" t="e">
        <f>VLOOKUP('Graphing (2)'!$B1,'Inputs-new'!$B:$IV,178,FALSE)</f>
        <v>#N/A</v>
      </c>
      <c r="AQ11" t="e">
        <f>VLOOKUP('Graphing (2)'!$B1,'Inputs-new'!$B:$IV,179,FALSE)</f>
        <v>#N/A</v>
      </c>
      <c r="AR11" t="e">
        <f>VLOOKUP('Graphing (2)'!$B1,'Inputs-new'!$B:$IV,180,FALSE)</f>
        <v>#N/A</v>
      </c>
      <c r="AS11" t="e">
        <f>VLOOKUP('Graphing (2)'!$B1,'Inputs-new'!$B:$IV,181,FALSE)</f>
        <v>#N/A</v>
      </c>
      <c r="AT11" t="e">
        <f>VLOOKUP('Graphing (2)'!$B1,'Inputs-new'!$B:$IV,182,FALSE)</f>
        <v>#N/A</v>
      </c>
      <c r="AU11" t="e">
        <f>VLOOKUP('Graphing (2)'!$B1,'Inputs-new'!$B:$IV,183,FALSE)</f>
        <v>#N/A</v>
      </c>
    </row>
    <row r="12" spans="1:47" x14ac:dyDescent="0.25">
      <c r="A12" t="s">
        <v>280</v>
      </c>
      <c r="B12" s="70" t="e">
        <f>B11/VLOOKUP(B1,'Inputs-new'!B:IV,8,FALSE)</f>
        <v>#N/A</v>
      </c>
      <c r="C12" s="70" t="e">
        <f>C11/VLOOKUP(B1,'Inputs-new'!B:IV,8,FALSE)</f>
        <v>#N/A</v>
      </c>
      <c r="D12" s="70" t="e">
        <f>D11/VLOOKUP(B1,'Inputs-new'!B:IV,8,FALSE)</f>
        <v>#N/A</v>
      </c>
      <c r="E12" s="70" t="e">
        <f>E11/VLOOKUP(B1,'Inputs-new'!B:IV,8,FALSE)</f>
        <v>#N/A</v>
      </c>
      <c r="G12" s="9" t="e">
        <f>G11</f>
        <v>#N/A</v>
      </c>
      <c r="H12" s="9" t="e">
        <f t="shared" ref="H12:J12" si="1">H11</f>
        <v>#N/A</v>
      </c>
      <c r="I12" s="9" t="e">
        <f t="shared" si="1"/>
        <v>#N/A</v>
      </c>
      <c r="J12" s="9" t="e">
        <f t="shared" si="1"/>
        <v>#N/A</v>
      </c>
    </row>
  </sheetData>
  <mergeCells count="2">
    <mergeCell ref="D1:E1"/>
    <mergeCell ref="F1:G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'Inputs-new'!$B$2:$B$46</xm:f>
          </x14:formula1>
          <xm:sqref>B1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93FEC69790C245859F7F0AC4ADFE3E" ma:contentTypeVersion="16" ma:contentTypeDescription="Create a new document." ma:contentTypeScope="" ma:versionID="fe6740d7e3d9f29ea10e7373fee639ea">
  <xsd:schema xmlns:xsd="http://www.w3.org/2001/XMLSchema" xmlns:xs="http://www.w3.org/2001/XMLSchema" xmlns:p="http://schemas.microsoft.com/office/2006/metadata/properties" xmlns:ns2="32ac0d9b-ea56-4b08-a7e4-21cecfc07c0f" xmlns:ns3="33e7dc86-0134-4a06-8ceb-f41b29084816" targetNamespace="http://schemas.microsoft.com/office/2006/metadata/properties" ma:root="true" ma:fieldsID="54fbcabca3d95f01f3df4c5d9d6600e7" ns2:_="" ns3:_="">
    <xsd:import namespace="32ac0d9b-ea56-4b08-a7e4-21cecfc07c0f"/>
    <xsd:import namespace="33e7dc86-0134-4a06-8ceb-f41b290848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c0d9b-ea56-4b08-a7e4-21cecfc07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8763fd-94b5-4da1-826f-f7dcd53e6d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7dc86-0134-4a06-8ceb-f41b290848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8423c54-8da7-4c89-9f14-af230a23da27}" ma:internalName="TaxCatchAll" ma:showField="CatchAllData" ma:web="33e7dc86-0134-4a06-8ceb-f41b290848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e7dc86-0134-4a06-8ceb-f41b29084816" xsi:nil="true"/>
    <lcf76f155ced4ddcb4097134ff3c332f xmlns="32ac0d9b-ea56-4b08-a7e4-21cecfc07c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EF66D1-CF7B-4BCE-92AA-346E2CCCB157}"/>
</file>

<file path=customXml/itemProps2.xml><?xml version="1.0" encoding="utf-8"?>
<ds:datastoreItem xmlns:ds="http://schemas.openxmlformats.org/officeDocument/2006/customXml" ds:itemID="{BCE8EC01-1432-4A67-9C13-C34CC33B6B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61C634-6B70-4DB8-BAB4-064BB5EDA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Inputs-new</vt:lpstr>
      <vt:lpstr>Lung Nodule Dosimetry</vt:lpstr>
      <vt:lpstr>DATA</vt:lpstr>
      <vt:lpstr>Sheet1</vt:lpstr>
      <vt:lpstr>Sheet2</vt:lpstr>
      <vt:lpstr>New Bone Marrow Method</vt:lpstr>
      <vt:lpstr>Graphing</vt:lpstr>
      <vt:lpstr>Graphing (2)</vt:lpstr>
    </vt:vector>
  </TitlesOfParts>
  <Manager/>
  <Company>Monash Health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Lawson</dc:creator>
  <cp:keywords/>
  <dc:description/>
  <cp:lastModifiedBy>George Rouvalis</cp:lastModifiedBy>
  <cp:revision/>
  <dcterms:created xsi:type="dcterms:W3CDTF">2020-03-12T00:14:05Z</dcterms:created>
  <dcterms:modified xsi:type="dcterms:W3CDTF">2025-09-18T22:01:49Z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0x0101003D93FEC69790C245859F7F0AC4ADFE3E</vt:lpwstr>
  </property>
</Properties>
</file>